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11483500\Desktop\RENUNCIAS\"/>
    </mc:Choice>
  </mc:AlternateContent>
  <bookViews>
    <workbookView xWindow="-120" yWindow="-120" windowWidth="29040" windowHeight="15840"/>
  </bookViews>
  <sheets>
    <sheet name="2022" sheetId="1" r:id="rId1"/>
  </sheets>
  <definedNames>
    <definedName name="_AMO_SingleObject_653683758_ROM_F0.SEC2.Tabulate_1.SEC1.BDY.Cross_tabular_summary_report_Table_1" hidden="1">#REF!</definedName>
    <definedName name="_AMO_SingleObject_653683758_ROM_F0.SEC2.Tabulate_1.SEC1.FTR.TXT1" hidden="1">#REF!</definedName>
    <definedName name="_AMO_SingleObject_653683758_ROM_F0.SEC2.Tabulate_1.SEC1.HDR.TXT1" hidden="1">#REF!</definedName>
    <definedName name="abc">#REF!</definedName>
    <definedName name="ADF_ABRIL">#REF!</definedName>
    <definedName name="_xlnm.Print_Area" localSheetId="0">'2022'!$A$1:$D$29</definedName>
    <definedName name="GrafRecArrecadadaRCaixa">#REF!</definedName>
    <definedName name="Item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 l="1"/>
  <c r="D10" i="1"/>
</calcChain>
</file>

<file path=xl/sharedStrings.xml><?xml version="1.0" encoding="utf-8"?>
<sst xmlns="http://schemas.openxmlformats.org/spreadsheetml/2006/main" count="54" uniqueCount="41">
  <si>
    <t>EXERCÍCIO DE 2022</t>
  </si>
  <si>
    <t>TRIBUTO</t>
  </si>
  <si>
    <t>MODALIDADE</t>
  </si>
  <si>
    <t>NORMA AUTORIZATIVA</t>
  </si>
  <si>
    <t xml:space="preserve">MONTANTE DAS PERDAS </t>
  </si>
  <si>
    <t xml:space="preserve">NOVAS RENÚNCIAS - CONCEDIDAS EM 2022 </t>
  </si>
  <si>
    <t>ICMS</t>
  </si>
  <si>
    <r>
      <t>Benefício de natureza financeira, tributária e creditícia</t>
    </r>
    <r>
      <rPr>
        <vertAlign val="superscript"/>
        <sz val="10"/>
        <color theme="1"/>
        <rFont val="Arial"/>
        <family val="2"/>
      </rPr>
      <t xml:space="preserve"> (1, 2 e 3)</t>
    </r>
  </si>
  <si>
    <t>Lei Complementar nº 160/2017, Convênio ICMS 190/17 e Lei 6763/1975</t>
  </si>
  <si>
    <r>
      <t>Remissão</t>
    </r>
    <r>
      <rPr>
        <vertAlign val="superscript"/>
        <sz val="10"/>
        <color theme="1"/>
        <rFont val="Arial"/>
        <family val="2"/>
      </rPr>
      <t>(3)</t>
    </r>
  </si>
  <si>
    <t>IPVA</t>
  </si>
  <si>
    <r>
      <t>Isenção</t>
    </r>
    <r>
      <rPr>
        <vertAlign val="superscript"/>
        <sz val="10"/>
        <color theme="1"/>
        <rFont val="Arial"/>
        <family val="2"/>
      </rPr>
      <t>(3)</t>
    </r>
    <r>
      <rPr>
        <sz val="10"/>
        <color theme="1"/>
        <rFont val="Arial"/>
        <family val="2"/>
      </rPr>
      <t xml:space="preserve"> </t>
    </r>
  </si>
  <si>
    <t xml:space="preserve">TOTAL </t>
  </si>
  <si>
    <t>RENÚNCIAS PRÉ-EXISTENTES - ANTERIORES A 2022</t>
  </si>
  <si>
    <r>
      <t xml:space="preserve">Benefício de natureza financeira, tributária e creditícia </t>
    </r>
    <r>
      <rPr>
        <vertAlign val="superscript"/>
        <sz val="10"/>
        <color theme="1"/>
        <rFont val="Arial"/>
        <family val="2"/>
      </rPr>
      <t>(1, 2 e 4)</t>
    </r>
  </si>
  <si>
    <t>Isenção</t>
  </si>
  <si>
    <t>Anistia</t>
  </si>
  <si>
    <t>Novo Regularize - Lei 22.549/2017, Regularize - Dec. 46.817/2015, Parcelamento Anistia - Lei 17.247/07 e REFIS 2021 - Lei 23.801/2021</t>
  </si>
  <si>
    <t>Benefício de natureza financeira, tributária e creditícia</t>
  </si>
  <si>
    <t>Lei 23.801/2021</t>
  </si>
  <si>
    <t>ITCD</t>
  </si>
  <si>
    <t xml:space="preserve">Lei 23.801/2021 e Regularize - Dec. 46.817/2015 </t>
  </si>
  <si>
    <t>TAXAS</t>
  </si>
  <si>
    <t>Regularize - Dec. 46.817/2015</t>
  </si>
  <si>
    <t>TOTAL</t>
  </si>
  <si>
    <t>Fonte:</t>
  </si>
  <si>
    <t>Dados do Armazém Cognos e SAS - SAIF/DIEF; SICAF/MG - SUCRED</t>
  </si>
  <si>
    <r>
      <t>Elaboração:</t>
    </r>
    <r>
      <rPr>
        <sz val="8"/>
        <color rgb="FF000000"/>
        <rFont val="Arial"/>
        <family val="2"/>
      </rPr>
      <t xml:space="preserve"> </t>
    </r>
  </si>
  <si>
    <t>DIEF/SAIF/SEF-MG</t>
  </si>
  <si>
    <t>Notas:</t>
  </si>
  <si>
    <t>1 - Para a quantificação das renúncias fiscais do ICMS formalizadas em regimes especiais, a SEF/MG agrega e consolida por núcleo de CNPJ, os dados informados pelos contribuintes na DAPI - Declaração de Apuração do ICMS, Portaria SRE-117/2013, modalidade de autolançamento do imposto, e complementa eventualmente com os dados dos demais documentos eletrônicos emitidos pelos mesmos. Essas informações estão sujeitas à revisão fiscal no prazo decadencial de 5 anos.</t>
  </si>
  <si>
    <t>2 - A SEF/MG, na eventual concessão de regime especial de tratamento tributário setorial que possa ser caracterizado como uma nova renúncia de receita de ICMS, irá adotar o dispositivo de salva guarda da arrecadação tributária, como medida de compensação de renúncia fiscal, consistente na aceitação pelo contribuinte de uma receita mínima nos exercícios seguintes, correspondente ao valor do ICMS devido a título de operação própria e substituição tributária, corretamente declarado no exercício fiscal anterior, corrigido pela variação acumulada do IPCA, divulgado pelo IBGE.</t>
  </si>
  <si>
    <t>No caso de contribuinte que está iniciando as atividades no Estado, ou seja, investimento novo, a comparação será feita entre o valor recolhido no segundo período de 12 meses após o início de vigência do regime especial e o valor recolhido nos primeiros 12 meses após o início de vigência deste, corrigido pela variação acumulada do IPCA, divulgado pelo IBGE.</t>
  </si>
  <si>
    <t>A fundamentação legal é no sentido de que não serão afetadas as metas de resultados fiscais do setor, nos termos do inciso I, art. 14 da Lei Complementar nº 101/2000.</t>
  </si>
  <si>
    <t>3 - Incremento de receita no exercício de 2022, decorrente da incidência de tributação nas operações de importação com fertilizantes e seus insumos, anteriormente isentas, cuja carga tributária foi definida de acordo com os percentuais estabelecidos pelo Convênio ICMS 26/21, de forma gradual, a partir de 2022 até 2025.</t>
  </si>
  <si>
    <t>4 - A renúncia de receita do crédito presumido é basicamente a diferença entre esse montante e os créditos por aquisições informados nas declarações. Para suprir a omissão destes créditos em algumas escriturações fiscais, a SEF/MG fez ajustes desses valores, utilizando nessa proxy os valores de ICMS destacados em NFe – Notas Fiscais Eletrônicas.</t>
  </si>
  <si>
    <t>Convênio ICMS 31/19 e Lei 6763/1975</t>
  </si>
  <si>
    <t>Lei nº 14.937/2003</t>
  </si>
  <si>
    <t>Convênio ICMS 161/21 e Lei nº 14.937/2003</t>
  </si>
  <si>
    <t>Lei Complementar nº 160/2017, Convênio ICMS 190/17, Lei nº 22.944/2018 e Lei 6763/1975</t>
  </si>
  <si>
    <t>MONTANTE DAS PERDAS NAS RECEITAS DO ESTADO DE MG EM DECORRÊNCIA DAS DESONERAÇÕES 
ESPECIFICADAS POR TRIBUTOS E MODALIDADES DE RENÚNCIA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</si>
</sst>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quot;R$&quot;\ #,##0.00;[Red]\-&quot;R$&quot;\ #,##0.00"/>
    <numFmt numFmtId="164" formatCode="_-* #,##0_-;\-* #,##0_-;_-* &quot;-&quot;??_-;_-@_-"/>
    <numFmt numFmtId="165" formatCode="#,##0.000"/>
    <numFmt numFmtId="166" formatCode="_(* #,##0.00_);_(* \(#,##0.00\);_(* &quot;-&quot;??_);_(@_)"/>
  </numFmts>
  <fonts count="13" x14ac:knownFonts="1">
    <font>
      <sz val="11"/>
      <color theme="1"/>
      <name val="Calibri"/>
      <family val="2"/>
      <scheme val="minor"/>
    </font>
    <font>
      <b/>
      <sz val="10"/>
      <color rgb="FF000000"/>
      <name val="Arial"/>
      <family val="2"/>
    </font>
    <font>
      <sz val="10"/>
      <name val="Arial"/>
      <family val="2"/>
    </font>
    <font>
      <b/>
      <sz val="10"/>
      <color theme="1"/>
      <name val="Arial"/>
      <family val="2"/>
    </font>
    <font>
      <sz val="10"/>
      <color theme="1"/>
      <name val="Arial"/>
      <family val="2"/>
    </font>
    <font>
      <vertAlign val="superscript"/>
      <sz val="10"/>
      <color theme="1"/>
      <name val="Arial"/>
      <family val="2"/>
    </font>
    <font>
      <b/>
      <sz val="8"/>
      <color rgb="FF000000"/>
      <name val="Arial"/>
      <family val="2"/>
    </font>
    <font>
      <sz val="8"/>
      <color theme="1"/>
      <name val="Arial"/>
      <family val="2"/>
    </font>
    <font>
      <sz val="8"/>
      <color rgb="FF000000"/>
      <name val="Arial"/>
      <family val="2"/>
    </font>
    <font>
      <sz val="8"/>
      <name val="Arial"/>
      <family val="2"/>
    </font>
    <font>
      <sz val="10"/>
      <color theme="1"/>
      <name val="Tahoma"/>
      <family val="2"/>
    </font>
    <font>
      <sz val="10"/>
      <color rgb="FF333333"/>
      <name val="Arial"/>
      <family val="2"/>
    </font>
    <font>
      <sz val="10"/>
      <color rgb="FF000000"/>
      <name val="Arial"/>
      <family val="2"/>
    </font>
  </fonts>
  <fills count="6">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solid">
        <fgColor rgb="FFBFBFBF"/>
        <bgColor indexed="64"/>
      </patternFill>
    </fill>
    <fill>
      <patternFill patternType="solid">
        <fgColor rgb="FFFFFFFF"/>
        <bgColor indexed="64"/>
      </patternFill>
    </fill>
  </fills>
  <borders count="32">
    <border>
      <left/>
      <right/>
      <top/>
      <bottom/>
      <diagonal/>
    </border>
    <border>
      <left/>
      <right/>
      <top/>
      <bottom style="double">
        <color indexed="64"/>
      </bottom>
      <diagonal/>
    </border>
    <border>
      <left/>
      <right/>
      <top style="double">
        <color indexed="64"/>
      </top>
      <bottom style="double">
        <color indexed="64"/>
      </bottom>
      <diagonal/>
    </border>
    <border>
      <left/>
      <right style="medium">
        <color indexed="64"/>
      </right>
      <top style="double">
        <color indexed="64"/>
      </top>
      <bottom/>
      <diagonal/>
    </border>
    <border>
      <left style="medium">
        <color indexed="64"/>
      </left>
      <right style="medium">
        <color indexed="64"/>
      </right>
      <top style="double">
        <color indexed="64"/>
      </top>
      <bottom/>
      <diagonal/>
    </border>
    <border>
      <left style="medium">
        <color indexed="64"/>
      </left>
      <right/>
      <top style="double">
        <color indexed="64"/>
      </top>
      <bottom/>
      <diagonal/>
    </border>
    <border>
      <left/>
      <right/>
      <top style="double">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double">
        <color indexed="64"/>
      </bottom>
      <diagonal/>
    </border>
    <border>
      <left style="thin">
        <color rgb="FF000000"/>
      </left>
      <right style="thin">
        <color rgb="FF000000"/>
      </right>
      <top style="thin">
        <color rgb="FF000000"/>
      </top>
      <bottom style="double">
        <color indexed="64"/>
      </bottom>
      <diagonal/>
    </border>
    <border>
      <left style="thin">
        <color rgb="FF000000"/>
      </left>
      <right/>
      <top style="thin">
        <color rgb="FF000000"/>
      </top>
      <bottom style="double">
        <color indexed="64"/>
      </bottom>
      <diagonal/>
    </border>
    <border>
      <left/>
      <right/>
      <top style="double">
        <color indexed="64"/>
      </top>
      <bottom/>
      <diagonal/>
    </border>
  </borders>
  <cellStyleXfs count="4">
    <xf numFmtId="0" fontId="0" fillId="0" borderId="0"/>
    <xf numFmtId="0" fontId="2" fillId="0" borderId="0"/>
    <xf numFmtId="166" fontId="2" fillId="0" borderId="0" applyFont="0" applyFill="0" applyBorder="0" applyAlignment="0" applyProtection="0"/>
    <xf numFmtId="0" fontId="10" fillId="0" borderId="0"/>
  </cellStyleXfs>
  <cellXfs count="55">
    <xf numFmtId="0" fontId="0" fillId="0" borderId="0" xfId="0"/>
    <xf numFmtId="0" fontId="8" fillId="5" borderId="0" xfId="0" applyFont="1" applyFill="1" applyAlignment="1">
      <alignment vertical="center"/>
    </xf>
    <xf numFmtId="0" fontId="7" fillId="0" borderId="0" xfId="0" applyFont="1" applyAlignment="1">
      <alignment vertical="center" wrapText="1"/>
    </xf>
    <xf numFmtId="0" fontId="4" fillId="0" borderId="0" xfId="0" applyFont="1"/>
    <xf numFmtId="0" fontId="7" fillId="0" borderId="0" xfId="0" applyFont="1"/>
    <xf numFmtId="0" fontId="11" fillId="0" borderId="0" xfId="0" applyFont="1"/>
    <xf numFmtId="164" fontId="4" fillId="0" borderId="0" xfId="0" applyNumberFormat="1" applyFont="1"/>
    <xf numFmtId="165" fontId="12" fillId="5" borderId="0" xfId="0" applyNumberFormat="1" applyFont="1" applyFill="1" applyAlignment="1">
      <alignment vertical="center"/>
    </xf>
    <xf numFmtId="0" fontId="3" fillId="0" borderId="0" xfId="0" applyFont="1" applyAlignment="1" applyProtection="1">
      <alignment horizontal="center" vertical="center" wrapText="1"/>
      <protection hidden="1"/>
    </xf>
    <xf numFmtId="0" fontId="4" fillId="0" borderId="0" xfId="0" applyFont="1" applyAlignment="1" applyProtection="1">
      <alignment vertical="center"/>
      <protection hidden="1"/>
    </xf>
    <xf numFmtId="8" fontId="3" fillId="0" borderId="0" xfId="0" applyNumberFormat="1" applyFont="1" applyAlignment="1" applyProtection="1">
      <alignment horizontal="right" vertical="center"/>
      <protection hidden="1"/>
    </xf>
    <xf numFmtId="0" fontId="1" fillId="2" borderId="3" xfId="0" applyFont="1" applyFill="1" applyBorder="1" applyAlignment="1" applyProtection="1">
      <alignment horizontal="center" vertical="center" wrapText="1"/>
      <protection hidden="1"/>
    </xf>
    <xf numFmtId="0" fontId="1" fillId="2" borderId="4" xfId="0" applyFont="1" applyFill="1" applyBorder="1" applyAlignment="1" applyProtection="1">
      <alignment horizontal="center" vertical="center" wrapText="1"/>
      <protection hidden="1"/>
    </xf>
    <xf numFmtId="0" fontId="3" fillId="3" borderId="2" xfId="1" applyFont="1" applyFill="1" applyBorder="1" applyAlignment="1" applyProtection="1">
      <alignment horizontal="center" vertical="center"/>
      <protection hidden="1"/>
    </xf>
    <xf numFmtId="0" fontId="1" fillId="2" borderId="5" xfId="0" applyFont="1" applyFill="1" applyBorder="1" applyAlignment="1" applyProtection="1">
      <alignment horizontal="center" vertical="center" wrapText="1"/>
      <protection hidden="1"/>
    </xf>
    <xf numFmtId="0" fontId="4" fillId="0" borderId="8" xfId="0" applyFont="1" applyBorder="1" applyAlignment="1" applyProtection="1">
      <alignment vertical="center" wrapText="1"/>
      <protection hidden="1"/>
    </xf>
    <xf numFmtId="0" fontId="4" fillId="0" borderId="9" xfId="0" applyFont="1" applyBorder="1" applyAlignment="1" applyProtection="1">
      <alignment vertical="center" wrapText="1"/>
      <protection hidden="1"/>
    </xf>
    <xf numFmtId="3" fontId="4" fillId="0" borderId="9" xfId="0" applyNumberFormat="1" applyFont="1" applyBorder="1" applyAlignment="1" applyProtection="1">
      <alignment vertical="center"/>
      <protection hidden="1"/>
    </xf>
    <xf numFmtId="0" fontId="4" fillId="0" borderId="11" xfId="0" applyFont="1" applyBorder="1" applyAlignment="1" applyProtection="1">
      <alignment vertical="center"/>
      <protection hidden="1"/>
    </xf>
    <xf numFmtId="0" fontId="4" fillId="0" borderId="12" xfId="0" applyFont="1" applyBorder="1" applyAlignment="1" applyProtection="1">
      <alignment vertical="center"/>
      <protection hidden="1"/>
    </xf>
    <xf numFmtId="3" fontId="4" fillId="0" borderId="12" xfId="0" applyNumberFormat="1" applyFont="1" applyBorder="1" applyAlignment="1" applyProtection="1">
      <alignment vertical="center"/>
      <protection hidden="1"/>
    </xf>
    <xf numFmtId="0" fontId="1" fillId="5" borderId="15" xfId="0" applyFont="1" applyFill="1" applyBorder="1" applyAlignment="1" applyProtection="1">
      <alignment horizontal="center" vertical="center"/>
      <protection hidden="1"/>
    </xf>
    <xf numFmtId="3" fontId="3" fillId="0" borderId="15" xfId="0" applyNumberFormat="1" applyFont="1" applyBorder="1" applyAlignment="1" applyProtection="1">
      <alignment vertical="center"/>
      <protection hidden="1"/>
    </xf>
    <xf numFmtId="0" fontId="4" fillId="0" borderId="18" xfId="0" applyFont="1" applyBorder="1" applyAlignment="1" applyProtection="1">
      <alignment vertical="center"/>
      <protection hidden="1"/>
    </xf>
    <xf numFmtId="0" fontId="4" fillId="0" borderId="18" xfId="0" applyFont="1" applyBorder="1" applyAlignment="1" applyProtection="1">
      <alignment vertical="center" wrapText="1"/>
      <protection hidden="1"/>
    </xf>
    <xf numFmtId="3" fontId="4" fillId="0" borderId="19" xfId="0" applyNumberFormat="1" applyFont="1" applyBorder="1" applyAlignment="1" applyProtection="1">
      <alignment vertical="center"/>
      <protection hidden="1"/>
    </xf>
    <xf numFmtId="0" fontId="4" fillId="0" borderId="21" xfId="0" applyFont="1" applyBorder="1" applyAlignment="1" applyProtection="1">
      <alignment vertical="center"/>
      <protection hidden="1"/>
    </xf>
    <xf numFmtId="0" fontId="4" fillId="0" borderId="22" xfId="0" applyFont="1" applyBorder="1" applyAlignment="1" applyProtection="1">
      <alignment vertical="center" wrapText="1"/>
      <protection hidden="1"/>
    </xf>
    <xf numFmtId="3" fontId="4" fillId="0" borderId="23" xfId="0" applyNumberFormat="1" applyFont="1" applyBorder="1" applyAlignment="1" applyProtection="1">
      <alignment vertical="center"/>
      <protection hidden="1"/>
    </xf>
    <xf numFmtId="0" fontId="4" fillId="0" borderId="23" xfId="0" applyFont="1" applyBorder="1" applyAlignment="1" applyProtection="1">
      <alignment horizontal="left" vertical="center" wrapText="1"/>
      <protection hidden="1"/>
    </xf>
    <xf numFmtId="0" fontId="4" fillId="0" borderId="25" xfId="0" applyFont="1" applyBorder="1" applyProtection="1">
      <protection hidden="1"/>
    </xf>
    <xf numFmtId="0" fontId="4" fillId="0" borderId="26" xfId="0" applyFont="1" applyBorder="1" applyAlignment="1" applyProtection="1">
      <alignment vertical="center"/>
      <protection hidden="1"/>
    </xf>
    <xf numFmtId="3" fontId="4" fillId="0" borderId="27" xfId="0" applyNumberFormat="1" applyFont="1" applyBorder="1" applyAlignment="1" applyProtection="1">
      <alignment vertical="center"/>
      <protection hidden="1"/>
    </xf>
    <xf numFmtId="0" fontId="4" fillId="0" borderId="23" xfId="0" applyFont="1" applyBorder="1" applyAlignment="1" applyProtection="1">
      <alignment vertical="center"/>
      <protection hidden="1"/>
    </xf>
    <xf numFmtId="0" fontId="1" fillId="5" borderId="30" xfId="0" applyFont="1" applyFill="1" applyBorder="1" applyAlignment="1" applyProtection="1">
      <alignment horizontal="center" vertical="center" wrapText="1"/>
      <protection hidden="1"/>
    </xf>
    <xf numFmtId="3" fontId="1" fillId="5" borderId="30" xfId="0" applyNumberFormat="1" applyFont="1" applyFill="1" applyBorder="1" applyAlignment="1" applyProtection="1">
      <alignment vertical="center"/>
      <protection hidden="1"/>
    </xf>
    <xf numFmtId="0" fontId="6" fillId="0" borderId="0" xfId="0" applyFont="1" applyAlignment="1" applyProtection="1">
      <alignment vertical="center" wrapText="1"/>
      <protection hidden="1"/>
    </xf>
    <xf numFmtId="0" fontId="8" fillId="5" borderId="0" xfId="0" applyFont="1" applyFill="1" applyAlignment="1" applyProtection="1">
      <alignment vertical="center" wrapText="1"/>
      <protection hidden="1"/>
    </xf>
    <xf numFmtId="0" fontId="7" fillId="0" borderId="0" xfId="0" applyFont="1" applyAlignment="1" applyProtection="1">
      <alignment horizontal="left" vertical="center" wrapText="1"/>
      <protection hidden="1"/>
    </xf>
    <xf numFmtId="0" fontId="9" fillId="0" borderId="0" xfId="0" applyFont="1" applyAlignment="1" applyProtection="1">
      <alignment horizontal="left" vertical="center" wrapText="1"/>
      <protection hidden="1"/>
    </xf>
    <xf numFmtId="0" fontId="1" fillId="5" borderId="28" xfId="0" applyFont="1" applyFill="1" applyBorder="1" applyAlignment="1" applyProtection="1">
      <alignment horizontal="center" vertical="center" wrapText="1"/>
      <protection hidden="1"/>
    </xf>
    <xf numFmtId="0" fontId="1" fillId="5" borderId="29" xfId="0" applyFont="1" applyFill="1" applyBorder="1" applyAlignment="1" applyProtection="1">
      <alignment horizontal="center" vertical="center" wrapText="1"/>
      <protection hidden="1"/>
    </xf>
    <xf numFmtId="0" fontId="7" fillId="0" borderId="31" xfId="0" applyFont="1" applyBorder="1" applyAlignment="1" applyProtection="1">
      <alignment horizontal="left" wrapText="1"/>
      <protection hidden="1"/>
    </xf>
    <xf numFmtId="0" fontId="1" fillId="4" borderId="16" xfId="0" applyFont="1" applyFill="1" applyBorder="1" applyAlignment="1" applyProtection="1">
      <alignment horizontal="center" vertical="center" wrapText="1"/>
      <protection hidden="1"/>
    </xf>
    <xf numFmtId="0" fontId="3" fillId="0" borderId="1" xfId="0" applyFont="1" applyBorder="1" applyAlignment="1" applyProtection="1">
      <alignment horizontal="center" vertical="center" wrapText="1"/>
      <protection hidden="1"/>
    </xf>
    <xf numFmtId="0" fontId="3" fillId="0" borderId="2" xfId="0" applyFont="1" applyBorder="1" applyAlignment="1" applyProtection="1">
      <alignment horizontal="center" vertical="center" wrapText="1"/>
      <protection hidden="1"/>
    </xf>
    <xf numFmtId="0" fontId="1" fillId="4" borderId="6" xfId="0" applyFont="1" applyFill="1" applyBorder="1" applyAlignment="1" applyProtection="1">
      <alignment horizontal="center" vertical="center"/>
      <protection hidden="1"/>
    </xf>
    <xf numFmtId="0" fontId="1" fillId="5" borderId="13" xfId="0" applyFont="1" applyFill="1" applyBorder="1" applyAlignment="1" applyProtection="1">
      <alignment horizontal="center" vertical="center"/>
      <protection hidden="1"/>
    </xf>
    <xf numFmtId="0" fontId="1" fillId="5" borderId="14" xfId="0" applyFont="1" applyFill="1" applyBorder="1" applyAlignment="1" applyProtection="1">
      <alignment horizontal="center" vertical="center"/>
      <protection hidden="1"/>
    </xf>
    <xf numFmtId="0" fontId="3" fillId="0" borderId="7" xfId="0" applyFont="1" applyBorder="1" applyAlignment="1" applyProtection="1">
      <alignment vertical="center" wrapText="1"/>
      <protection hidden="1"/>
    </xf>
    <xf numFmtId="0" fontId="3" fillId="0" borderId="10" xfId="0" applyFont="1" applyBorder="1" applyAlignment="1" applyProtection="1">
      <alignment horizontal="left" vertical="center" wrapText="1"/>
      <protection hidden="1"/>
    </xf>
    <xf numFmtId="0" fontId="3" fillId="0" borderId="17" xfId="0" applyFont="1" applyBorder="1" applyAlignment="1" applyProtection="1">
      <alignment vertical="center" wrapText="1"/>
      <protection hidden="1"/>
    </xf>
    <xf numFmtId="0" fontId="3" fillId="0" borderId="24" xfId="0" applyFont="1" applyBorder="1" applyAlignment="1" applyProtection="1">
      <alignment vertical="center" wrapText="1"/>
      <protection hidden="1"/>
    </xf>
    <xf numFmtId="0" fontId="3" fillId="0" borderId="20" xfId="0" applyFont="1" applyBorder="1" applyAlignment="1" applyProtection="1">
      <alignment horizontal="left" vertical="center" wrapText="1"/>
      <protection hidden="1"/>
    </xf>
    <xf numFmtId="0" fontId="3" fillId="0" borderId="20" xfId="0" applyFont="1" applyBorder="1" applyAlignment="1" applyProtection="1">
      <alignment horizontal="left" vertical="center"/>
      <protection hidden="1"/>
    </xf>
  </cellXfs>
  <cellStyles count="4">
    <cellStyle name="Normal" xfId="0" builtinId="0"/>
    <cellStyle name="Normal 2" xfId="1"/>
    <cellStyle name="Normal 2 2 2" xfId="3"/>
    <cellStyle name="Vírgula 15"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9"/>
  <sheetViews>
    <sheetView tabSelected="1" view="pageBreakPreview" topLeftCell="A3" zoomScaleNormal="100" zoomScaleSheetLayoutView="100" workbookViewId="0">
      <selection activeCell="A18" sqref="A18:A19"/>
    </sheetView>
  </sheetViews>
  <sheetFormatPr defaultRowHeight="12.75" x14ac:dyDescent="0.2"/>
  <cols>
    <col min="1" max="1" width="13.140625" style="3" customWidth="1"/>
    <col min="2" max="2" width="52.5703125" style="3" customWidth="1"/>
    <col min="3" max="3" width="61.7109375" style="3" bestFit="1" customWidth="1"/>
    <col min="4" max="4" width="24.28515625" style="3" bestFit="1" customWidth="1"/>
    <col min="5" max="5" width="9.85546875" style="3" bestFit="1" customWidth="1"/>
    <col min="6" max="16384" width="9.140625" style="3"/>
  </cols>
  <sheetData>
    <row r="1" spans="1:6" ht="39.75" customHeight="1" thickBot="1" x14ac:dyDescent="0.25">
      <c r="A1" s="44" t="s">
        <v>40</v>
      </c>
      <c r="B1" s="44"/>
      <c r="C1" s="44"/>
      <c r="D1" s="44"/>
    </row>
    <row r="2" spans="1:6" ht="15.75" customHeight="1" thickTop="1" thickBot="1" x14ac:dyDescent="0.25">
      <c r="A2" s="8"/>
      <c r="B2" s="8"/>
      <c r="C2" s="8"/>
      <c r="D2" s="8"/>
    </row>
    <row r="3" spans="1:6" ht="23.25" customHeight="1" thickTop="1" thickBot="1" x14ac:dyDescent="0.25">
      <c r="A3" s="45" t="s">
        <v>0</v>
      </c>
      <c r="B3" s="45"/>
      <c r="C3" s="45"/>
      <c r="D3" s="45"/>
    </row>
    <row r="4" spans="1:6" ht="16.5" customHeight="1" thickTop="1" thickBot="1" x14ac:dyDescent="0.25">
      <c r="A4" s="9"/>
      <c r="B4" s="9"/>
      <c r="C4" s="9"/>
      <c r="D4" s="10">
        <v>1</v>
      </c>
    </row>
    <row r="5" spans="1:6" ht="15" customHeight="1" thickTop="1" thickBot="1" x14ac:dyDescent="0.25">
      <c r="A5" s="11" t="s">
        <v>1</v>
      </c>
      <c r="B5" s="12" t="s">
        <v>2</v>
      </c>
      <c r="C5" s="13" t="s">
        <v>3</v>
      </c>
      <c r="D5" s="14" t="s">
        <v>4</v>
      </c>
    </row>
    <row r="6" spans="1:6" ht="20.100000000000001" customHeight="1" thickTop="1" thickBot="1" x14ac:dyDescent="0.25">
      <c r="A6" s="46" t="s">
        <v>5</v>
      </c>
      <c r="B6" s="46"/>
      <c r="C6" s="46"/>
      <c r="D6" s="46"/>
    </row>
    <row r="7" spans="1:6" ht="23.25" customHeight="1" thickBot="1" x14ac:dyDescent="0.25">
      <c r="A7" s="49" t="s">
        <v>6</v>
      </c>
      <c r="B7" s="15" t="s">
        <v>7</v>
      </c>
      <c r="C7" s="16" t="s">
        <v>8</v>
      </c>
      <c r="D7" s="17">
        <v>24976575.540023353</v>
      </c>
    </row>
    <row r="8" spans="1:6" ht="15" customHeight="1" x14ac:dyDescent="0.2">
      <c r="A8" s="49" t="s">
        <v>6</v>
      </c>
      <c r="B8" s="18" t="s">
        <v>9</v>
      </c>
      <c r="C8" s="19" t="s">
        <v>36</v>
      </c>
      <c r="D8" s="20">
        <v>14624489</v>
      </c>
      <c r="F8" s="5"/>
    </row>
    <row r="9" spans="1:6" ht="15" customHeight="1" x14ac:dyDescent="0.2">
      <c r="A9" s="50" t="s">
        <v>10</v>
      </c>
      <c r="B9" s="18" t="s">
        <v>11</v>
      </c>
      <c r="C9" s="19" t="s">
        <v>38</v>
      </c>
      <c r="D9" s="20">
        <v>4782976</v>
      </c>
      <c r="F9" s="6"/>
    </row>
    <row r="10" spans="1:6" ht="15" customHeight="1" thickBot="1" x14ac:dyDescent="0.25">
      <c r="A10" s="47" t="s">
        <v>12</v>
      </c>
      <c r="B10" s="48"/>
      <c r="C10" s="21"/>
      <c r="D10" s="22">
        <f>SUM(D7:D9)</f>
        <v>44384040.540023357</v>
      </c>
    </row>
    <row r="11" spans="1:6" ht="20.100000000000001" customHeight="1" thickBot="1" x14ac:dyDescent="0.25">
      <c r="A11" s="43" t="s">
        <v>13</v>
      </c>
      <c r="B11" s="43"/>
      <c r="C11" s="43"/>
      <c r="D11" s="43"/>
    </row>
    <row r="12" spans="1:6" ht="36" customHeight="1" thickBot="1" x14ac:dyDescent="0.25">
      <c r="A12" s="51" t="s">
        <v>6</v>
      </c>
      <c r="B12" s="23" t="s">
        <v>14</v>
      </c>
      <c r="C12" s="24" t="s">
        <v>39</v>
      </c>
      <c r="D12" s="25">
        <v>12716864156.757729</v>
      </c>
    </row>
    <row r="13" spans="1:6" ht="15" customHeight="1" thickBot="1" x14ac:dyDescent="0.25">
      <c r="A13" s="51" t="s">
        <v>6</v>
      </c>
      <c r="B13" s="26" t="s">
        <v>15</v>
      </c>
      <c r="C13" s="27" t="s">
        <v>8</v>
      </c>
      <c r="D13" s="28">
        <v>230582188.99700007</v>
      </c>
    </row>
    <row r="14" spans="1:6" ht="36" customHeight="1" x14ac:dyDescent="0.2">
      <c r="A14" s="51" t="s">
        <v>6</v>
      </c>
      <c r="B14" s="26" t="s">
        <v>16</v>
      </c>
      <c r="C14" s="29" t="s">
        <v>17</v>
      </c>
      <c r="D14" s="28">
        <v>978426577</v>
      </c>
    </row>
    <row r="15" spans="1:6" ht="15" customHeight="1" x14ac:dyDescent="0.2">
      <c r="A15" s="52" t="s">
        <v>10</v>
      </c>
      <c r="B15" s="26" t="s">
        <v>18</v>
      </c>
      <c r="C15" s="30" t="s">
        <v>37</v>
      </c>
      <c r="D15" s="28">
        <v>1356593269</v>
      </c>
    </row>
    <row r="16" spans="1:6" ht="15" customHeight="1" x14ac:dyDescent="0.2">
      <c r="A16" s="52" t="s">
        <v>10</v>
      </c>
      <c r="B16" s="31" t="s">
        <v>15</v>
      </c>
      <c r="C16" s="30" t="s">
        <v>37</v>
      </c>
      <c r="D16" s="32">
        <v>48101596</v>
      </c>
    </row>
    <row r="17" spans="1:5" ht="15" customHeight="1" x14ac:dyDescent="0.2">
      <c r="A17" s="52" t="s">
        <v>10</v>
      </c>
      <c r="B17" s="26" t="s">
        <v>16</v>
      </c>
      <c r="C17" s="33" t="s">
        <v>19</v>
      </c>
      <c r="D17" s="28">
        <v>197571</v>
      </c>
    </row>
    <row r="18" spans="1:5" ht="15" customHeight="1" x14ac:dyDescent="0.2">
      <c r="A18" s="53" t="s">
        <v>20</v>
      </c>
      <c r="B18" s="26" t="s">
        <v>16</v>
      </c>
      <c r="C18" s="33" t="s">
        <v>21</v>
      </c>
      <c r="D18" s="28">
        <v>6257314</v>
      </c>
    </row>
    <row r="19" spans="1:5" ht="15" customHeight="1" x14ac:dyDescent="0.2">
      <c r="A19" s="54" t="s">
        <v>22</v>
      </c>
      <c r="B19" s="26" t="s">
        <v>16</v>
      </c>
      <c r="C19" s="33" t="s">
        <v>23</v>
      </c>
      <c r="D19" s="28">
        <v>2201661</v>
      </c>
    </row>
    <row r="20" spans="1:5" ht="15" customHeight="1" thickBot="1" x14ac:dyDescent="0.25">
      <c r="A20" s="40" t="s">
        <v>24</v>
      </c>
      <c r="B20" s="41"/>
      <c r="C20" s="34"/>
      <c r="D20" s="35">
        <f>SUM(D12:D19)</f>
        <v>15339224333.754728</v>
      </c>
      <c r="E20" s="7"/>
    </row>
    <row r="21" spans="1:5" s="4" customFormat="1" ht="15" customHeight="1" thickTop="1" x14ac:dyDescent="0.2">
      <c r="A21" s="36" t="s">
        <v>25</v>
      </c>
      <c r="B21" s="42" t="s">
        <v>26</v>
      </c>
      <c r="C21" s="42"/>
      <c r="D21" s="42"/>
      <c r="E21" s="1"/>
    </row>
    <row r="22" spans="1:5" s="4" customFormat="1" ht="15" customHeight="1" x14ac:dyDescent="0.2">
      <c r="A22" s="36" t="s">
        <v>27</v>
      </c>
      <c r="B22" s="37" t="s">
        <v>28</v>
      </c>
      <c r="C22" s="37"/>
      <c r="D22" s="37"/>
      <c r="E22" s="1"/>
    </row>
    <row r="23" spans="1:5" s="4" customFormat="1" ht="15" customHeight="1" x14ac:dyDescent="0.2">
      <c r="A23" s="36" t="s">
        <v>29</v>
      </c>
      <c r="B23" s="37"/>
      <c r="C23" s="37"/>
      <c r="D23" s="37"/>
      <c r="E23" s="1"/>
    </row>
    <row r="24" spans="1:5" s="4" customFormat="1" ht="39.75" customHeight="1" x14ac:dyDescent="0.2">
      <c r="A24" s="38" t="s">
        <v>30</v>
      </c>
      <c r="B24" s="38"/>
      <c r="C24" s="38"/>
      <c r="D24" s="38"/>
      <c r="E24" s="2"/>
    </row>
    <row r="25" spans="1:5" s="4" customFormat="1" ht="45.75" customHeight="1" x14ac:dyDescent="0.2">
      <c r="A25" s="38" t="s">
        <v>31</v>
      </c>
      <c r="B25" s="38"/>
      <c r="C25" s="38"/>
      <c r="D25" s="38"/>
      <c r="E25" s="2"/>
    </row>
    <row r="26" spans="1:5" s="4" customFormat="1" ht="27.75" customHeight="1" x14ac:dyDescent="0.2">
      <c r="A26" s="38" t="s">
        <v>32</v>
      </c>
      <c r="B26" s="38"/>
      <c r="C26" s="38"/>
      <c r="D26" s="38"/>
      <c r="E26" s="2"/>
    </row>
    <row r="27" spans="1:5" s="4" customFormat="1" ht="17.25" customHeight="1" x14ac:dyDescent="0.2">
      <c r="A27" s="38" t="s">
        <v>33</v>
      </c>
      <c r="B27" s="38"/>
      <c r="C27" s="38"/>
      <c r="D27" s="38"/>
      <c r="E27" s="2"/>
    </row>
    <row r="28" spans="1:5" s="4" customFormat="1" ht="33.75" customHeight="1" x14ac:dyDescent="0.2">
      <c r="A28" s="38" t="s">
        <v>34</v>
      </c>
      <c r="B28" s="38"/>
      <c r="C28" s="38"/>
      <c r="D28" s="38"/>
      <c r="E28" s="2"/>
    </row>
    <row r="29" spans="1:5" s="4" customFormat="1" ht="28.5" customHeight="1" x14ac:dyDescent="0.2">
      <c r="A29" s="39" t="s">
        <v>35</v>
      </c>
      <c r="B29" s="39"/>
      <c r="C29" s="39"/>
      <c r="D29" s="39"/>
      <c r="E29" s="2"/>
    </row>
  </sheetData>
  <mergeCells count="13">
    <mergeCell ref="A11:D11"/>
    <mergeCell ref="A1:D1"/>
    <mergeCell ref="A3:D3"/>
    <mergeCell ref="A6:D6"/>
    <mergeCell ref="A10:B10"/>
    <mergeCell ref="A26:D26"/>
    <mergeCell ref="A27:D27"/>
    <mergeCell ref="A28:D28"/>
    <mergeCell ref="A29:D29"/>
    <mergeCell ref="A20:B20"/>
    <mergeCell ref="B21:D21"/>
    <mergeCell ref="A24:D24"/>
    <mergeCell ref="A25:D25"/>
  </mergeCells>
  <pageMargins left="0.51181102362204722" right="0.51181102362204722" top="0.78740157480314965" bottom="0.78740157480314965" header="0.31496062992125984" footer="0.31496062992125984"/>
  <pageSetup paperSize="9" scale="7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2022</vt:lpstr>
      <vt:lpstr>'2022'!Area_de_impressao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Maria Sahione Azevedo</dc:creator>
  <cp:lastModifiedBy>Késia Cristina Barbosa Alves Bomfá</cp:lastModifiedBy>
  <cp:lastPrinted>2023-07-11T17:16:20Z</cp:lastPrinted>
  <dcterms:created xsi:type="dcterms:W3CDTF">2023-07-07T12:25:19Z</dcterms:created>
  <dcterms:modified xsi:type="dcterms:W3CDTF">2026-02-23T18:40:40Z</dcterms:modified>
</cp:coreProperties>
</file>