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RENUNCIA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K23" i="1"/>
  <c r="J23" i="1"/>
  <c r="I23" i="1"/>
  <c r="H23" i="1"/>
  <c r="G23" i="1"/>
  <c r="F23" i="1"/>
  <c r="E23" i="1"/>
  <c r="D23" i="1"/>
  <c r="C23" i="1"/>
  <c r="B23" i="1"/>
  <c r="L24" i="1" s="1"/>
</calcChain>
</file>

<file path=xl/sharedStrings.xml><?xml version="1.0" encoding="utf-8"?>
<sst xmlns="http://schemas.openxmlformats.org/spreadsheetml/2006/main" count="38" uniqueCount="36">
  <si>
    <t>DEMONSTRATIVO REGIONALIZADO DO EFEITO SOBRE A RECEITA E A DESPESA DECORRENTE DE ISENÇÃO, ANISTIA, TRANSAÇÃO, REMISSÃO, SUBSÍDIO E BENEFICIO DE NATUREZA FINANCEIRA, TRIBUTÁRIO E CREDITÍCIA</t>
  </si>
  <si>
    <t>(inciso IX do artigo 7º da Lei nº 23.364, de 25/07/2019)</t>
  </si>
  <si>
    <t>Tabela 4 - Minas Gerais - Estimativa Regionalizada das Renúncias Pré Existentes</t>
  </si>
  <si>
    <t>Exercício Fiscal  de 2020</t>
  </si>
  <si>
    <t>( a preços de 2019)</t>
  </si>
  <si>
    <t>REGIONALIZAÇÃO</t>
  </si>
  <si>
    <t>ICMS por Modalidade de Renúncia</t>
  </si>
  <si>
    <t>IPVA</t>
  </si>
  <si>
    <t>Anistia - ITCD</t>
  </si>
  <si>
    <t>Anistia - Taxa</t>
  </si>
  <si>
    <t>Isenção</t>
  </si>
  <si>
    <t>Redução da Base de Cálculo</t>
  </si>
  <si>
    <t>Redução de Alíquota</t>
  </si>
  <si>
    <t>Crédito Presumido</t>
  </si>
  <si>
    <t>Incentivo a Cultura e Esporte</t>
  </si>
  <si>
    <t>Suframa</t>
  </si>
  <si>
    <t>Anistia</t>
  </si>
  <si>
    <t>Barbacena</t>
  </si>
  <si>
    <t>Belo Horizonte</t>
  </si>
  <si>
    <t>Divinópolis</t>
  </si>
  <si>
    <t>Governador Valadares</t>
  </si>
  <si>
    <t>Ipatinga</t>
  </si>
  <si>
    <t>Juíz de Fora</t>
  </si>
  <si>
    <t>Montes Claros</t>
  </si>
  <si>
    <t>Patos de Minas</t>
  </si>
  <si>
    <t>Pouso Alegre</t>
  </si>
  <si>
    <t>Teófilo Otoni</t>
  </si>
  <si>
    <t>Uberaba</t>
  </si>
  <si>
    <t>Uberlândia</t>
  </si>
  <si>
    <t>Varginha</t>
  </si>
  <si>
    <t>Contribuites Não inscrito</t>
  </si>
  <si>
    <t>SUB TOTAL</t>
  </si>
  <si>
    <t>TOTAL</t>
  </si>
  <si>
    <r>
      <rPr>
        <b/>
        <sz val="10"/>
        <rFont val="Arial"/>
        <family val="2"/>
      </rPr>
      <t xml:space="preserve">Fonte: </t>
    </r>
    <r>
      <rPr>
        <sz val="10"/>
        <rFont val="Arial"/>
        <family val="2"/>
      </rPr>
      <t>DPE/DIEF/SAIF/SEF-MG</t>
    </r>
  </si>
  <si>
    <r>
      <rPr>
        <b/>
        <sz val="10"/>
        <rFont val="Arial"/>
        <family val="2"/>
      </rPr>
      <t xml:space="preserve">Elaboração: </t>
    </r>
    <r>
      <rPr>
        <sz val="10"/>
        <rFont val="Arial"/>
        <family val="2"/>
      </rPr>
      <t>DPE/DIEF/SAIF/SEF-MG</t>
    </r>
  </si>
  <si>
    <r>
      <rPr>
        <b/>
        <sz val="10"/>
        <rFont val="Arial"/>
        <family val="2"/>
      </rPr>
      <t>Obs.:</t>
    </r>
    <r>
      <rPr>
        <sz val="10"/>
        <rFont val="Arial"/>
        <family val="2"/>
      </rPr>
      <t xml:space="preserve"> Receita Orçamentária Fiscal: Receita Corrente = R$ 92.916.039.851,00; Receita Tributária = R$ 69.779.606.719,00;  ICMS = R$ 53.797.860.025,00.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</si>
</sst>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2" fillId="0" borderId="0" xfId="2"/>
    <xf numFmtId="0" fontId="2" fillId="0" borderId="0" xfId="2" applyAlignment="1">
      <alignment horizontal="right"/>
    </xf>
    <xf numFmtId="165" fontId="0" fillId="0" borderId="0" xfId="1" applyNumberFormat="1" applyFont="1"/>
    <xf numFmtId="0" fontId="7" fillId="2" borderId="7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9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2" applyFont="1"/>
    <xf numFmtId="0" fontId="5" fillId="0" borderId="0" xfId="2" applyFont="1" applyAlignment="1">
      <alignment horizontal="center" vertical="center" wrapText="1"/>
    </xf>
    <xf numFmtId="0" fontId="2" fillId="0" borderId="0" xfId="2" applyAlignment="1">
      <alignment vertical="center"/>
    </xf>
    <xf numFmtId="0" fontId="2" fillId="0" borderId="0" xfId="2" applyAlignment="1">
      <alignment horizontal="right" vertical="center"/>
    </xf>
    <xf numFmtId="43" fontId="2" fillId="0" borderId="0" xfId="1" applyFont="1" applyAlignment="1">
      <alignment horizontal="right"/>
    </xf>
    <xf numFmtId="0" fontId="3" fillId="2" borderId="3" xfId="2" applyFont="1" applyFill="1" applyBorder="1" applyAlignment="1">
      <alignment horizontal="center" vertical="center" wrapText="1"/>
    </xf>
    <xf numFmtId="0" fontId="2" fillId="0" borderId="3" xfId="2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/>
    </xf>
    <xf numFmtId="0" fontId="3" fillId="2" borderId="10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left" vertical="center" wrapText="1"/>
    </xf>
    <xf numFmtId="3" fontId="4" fillId="0" borderId="5" xfId="2" applyNumberFormat="1" applyFont="1" applyBorder="1"/>
    <xf numFmtId="3" fontId="4" fillId="0" borderId="5" xfId="2" applyNumberFormat="1" applyFont="1" applyBorder="1" applyAlignment="1">
      <alignment vertical="center"/>
    </xf>
    <xf numFmtId="3" fontId="4" fillId="0" borderId="6" xfId="2" applyNumberFormat="1" applyFont="1" applyBorder="1" applyAlignment="1">
      <alignment vertical="center"/>
    </xf>
    <xf numFmtId="0" fontId="7" fillId="3" borderId="5" xfId="2" applyFont="1" applyFill="1" applyBorder="1" applyAlignment="1">
      <alignment horizontal="left" vertical="center" wrapText="1"/>
    </xf>
    <xf numFmtId="0" fontId="4" fillId="0" borderId="5" xfId="2" applyFont="1" applyBorder="1" applyAlignment="1">
      <alignment horizontal="right"/>
    </xf>
    <xf numFmtId="0" fontId="7" fillId="3" borderId="4" xfId="2" applyFont="1" applyFill="1" applyBorder="1" applyAlignment="1">
      <alignment horizontal="left" vertical="center"/>
    </xf>
    <xf numFmtId="0" fontId="3" fillId="0" borderId="0" xfId="2" applyFont="1" applyAlignment="1">
      <alignment vertical="center"/>
    </xf>
    <xf numFmtId="0" fontId="6" fillId="2" borderId="3" xfId="2" applyFont="1" applyFill="1" applyBorder="1" applyAlignment="1">
      <alignment horizontal="left" vertical="center" wrapText="1"/>
    </xf>
    <xf numFmtId="3" fontId="3" fillId="2" borderId="3" xfId="2" applyNumberFormat="1" applyFont="1" applyFill="1" applyBorder="1" applyAlignment="1">
      <alignment vertical="center"/>
    </xf>
    <xf numFmtId="0" fontId="6" fillId="2" borderId="7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2" applyAlignment="1">
      <alignment horizontal="left" vertical="center" wrapText="1"/>
    </xf>
    <xf numFmtId="165" fontId="0" fillId="0" borderId="0" xfId="1" applyNumberFormat="1" applyFont="1" applyAlignment="1">
      <alignment horizontal="right"/>
    </xf>
  </cellXfs>
  <cellStyles count="3"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A3" sqref="A1:A1048576"/>
    </sheetView>
  </sheetViews>
  <sheetFormatPr defaultRowHeight="12.75" x14ac:dyDescent="0.2"/>
  <cols>
    <col min="1" max="1" width="34.42578125" style="2" bestFit="1" customWidth="1"/>
    <col min="2" max="2" width="13.42578125" style="3" bestFit="1" customWidth="1"/>
    <col min="3" max="3" width="17" style="2" bestFit="1" customWidth="1"/>
    <col min="4" max="4" width="11.85546875" style="2" bestFit="1" customWidth="1"/>
    <col min="5" max="5" width="17" style="2" customWidth="1"/>
    <col min="6" max="6" width="14" style="2" customWidth="1"/>
    <col min="7" max="7" width="11.85546875" style="2" bestFit="1" customWidth="1"/>
    <col min="8" max="8" width="15.7109375" style="2" customWidth="1"/>
    <col min="9" max="9" width="13.42578125" style="2" bestFit="1" customWidth="1"/>
    <col min="10" max="10" width="14.7109375" style="2" bestFit="1" customWidth="1"/>
    <col min="11" max="11" width="11.85546875" style="2" bestFit="1" customWidth="1"/>
    <col min="12" max="12" width="17.28515625" style="2" customWidth="1"/>
    <col min="13" max="13" width="9.140625" style="2" customWidth="1"/>
    <col min="14" max="16384" width="9.140625" style="2"/>
  </cols>
  <sheetData>
    <row r="1" spans="1:12" ht="18.95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2.7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9"/>
      <c r="J2" s="9"/>
      <c r="K2" s="9"/>
      <c r="L2" s="9"/>
    </row>
    <row r="3" spans="1:12" x14ac:dyDescent="0.2">
      <c r="A3" s="10"/>
      <c r="B3" s="2"/>
    </row>
    <row r="4" spans="1:12" ht="12.75" customHeight="1" x14ac:dyDescent="0.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" x14ac:dyDescent="0.2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3"/>
      <c r="L6" s="14" t="s">
        <v>4</v>
      </c>
    </row>
    <row r="7" spans="1:12" x14ac:dyDescent="0.2">
      <c r="A7" s="15" t="s">
        <v>5</v>
      </c>
      <c r="B7" s="15" t="s">
        <v>6</v>
      </c>
      <c r="C7" s="16"/>
      <c r="D7" s="16"/>
      <c r="E7" s="16"/>
      <c r="F7" s="16"/>
      <c r="G7" s="16"/>
      <c r="H7" s="16"/>
      <c r="I7" s="15" t="s">
        <v>7</v>
      </c>
      <c r="J7" s="16"/>
      <c r="K7" s="1" t="s">
        <v>8</v>
      </c>
      <c r="L7" s="17" t="s">
        <v>9</v>
      </c>
    </row>
    <row r="8" spans="1:12" ht="39" thickBot="1" x14ac:dyDescent="0.25">
      <c r="A8" s="16"/>
      <c r="B8" s="18" t="s">
        <v>10</v>
      </c>
      <c r="C8" s="19" t="s">
        <v>11</v>
      </c>
      <c r="D8" s="19" t="s">
        <v>12</v>
      </c>
      <c r="E8" s="19" t="s">
        <v>13</v>
      </c>
      <c r="F8" s="19" t="s">
        <v>14</v>
      </c>
      <c r="G8" s="19" t="s">
        <v>15</v>
      </c>
      <c r="H8" s="19" t="s">
        <v>16</v>
      </c>
      <c r="I8" s="18" t="s">
        <v>10</v>
      </c>
      <c r="J8" s="19" t="s">
        <v>12</v>
      </c>
      <c r="K8" s="20"/>
      <c r="L8" s="21"/>
    </row>
    <row r="9" spans="1:12" ht="16.5" thickTop="1" x14ac:dyDescent="0.2">
      <c r="A9" s="22" t="s">
        <v>17</v>
      </c>
      <c r="B9" s="23"/>
      <c r="C9" s="24">
        <v>1384578.7171270719</v>
      </c>
      <c r="D9" s="24"/>
      <c r="E9" s="24">
        <v>366011668.40000004</v>
      </c>
      <c r="F9" s="24">
        <v>5648129.3200000003</v>
      </c>
      <c r="G9" s="24"/>
      <c r="H9" s="24">
        <v>4719631.1700000027</v>
      </c>
      <c r="I9" s="25"/>
      <c r="J9" s="25">
        <v>291432.78999999998</v>
      </c>
      <c r="K9" s="25">
        <v>8626.6799999999948</v>
      </c>
      <c r="L9" s="24">
        <v>4516.2699999999977</v>
      </c>
    </row>
    <row r="10" spans="1:12" ht="15.75" x14ac:dyDescent="0.2">
      <c r="A10" s="26" t="s">
        <v>18</v>
      </c>
      <c r="B10" s="23"/>
      <c r="C10" s="24">
        <v>292584631.36852002</v>
      </c>
      <c r="D10" s="24">
        <v>1640677.7486217804</v>
      </c>
      <c r="E10" s="24">
        <v>1372215844.9046233</v>
      </c>
      <c r="F10" s="24">
        <v>20120369.129999999</v>
      </c>
      <c r="G10" s="24">
        <v>1408572.2996632645</v>
      </c>
      <c r="H10" s="24">
        <v>410088083.98999912</v>
      </c>
      <c r="I10" s="25"/>
      <c r="J10" s="25">
        <v>209526318.73999351</v>
      </c>
      <c r="K10" s="25">
        <v>1010128.4200000037</v>
      </c>
      <c r="L10" s="24">
        <v>240242.9699999998</v>
      </c>
    </row>
    <row r="11" spans="1:12" ht="15.75" x14ac:dyDescent="0.2">
      <c r="A11" s="26" t="s">
        <v>19</v>
      </c>
      <c r="B11" s="23"/>
      <c r="C11" s="24">
        <v>96836704.369146883</v>
      </c>
      <c r="D11" s="24"/>
      <c r="E11" s="24">
        <v>318670996.21999997</v>
      </c>
      <c r="F11" s="24">
        <v>1991861.76</v>
      </c>
      <c r="G11" s="24">
        <v>390631.90874554747</v>
      </c>
      <c r="H11" s="24">
        <v>29036774.250000022</v>
      </c>
      <c r="I11" s="25"/>
      <c r="J11" s="25">
        <v>1999949.13</v>
      </c>
      <c r="K11" s="25">
        <v>59063.209999999955</v>
      </c>
      <c r="L11" s="24">
        <v>40537.85</v>
      </c>
    </row>
    <row r="12" spans="1:12" ht="15.75" x14ac:dyDescent="0.2">
      <c r="A12" s="26" t="s">
        <v>20</v>
      </c>
      <c r="B12" s="23"/>
      <c r="C12" s="24">
        <v>15473328.806535736</v>
      </c>
      <c r="D12" s="24"/>
      <c r="E12" s="24">
        <v>46357932.31000001</v>
      </c>
      <c r="F12" s="24">
        <v>13496.92</v>
      </c>
      <c r="G12" s="24"/>
      <c r="H12" s="24">
        <v>5699960.7800000068</v>
      </c>
      <c r="I12" s="25"/>
      <c r="J12" s="25">
        <v>354585.60000000009</v>
      </c>
      <c r="K12" s="25">
        <v>37013.899999999994</v>
      </c>
      <c r="L12" s="24">
        <v>1693086.0500000003</v>
      </c>
    </row>
    <row r="13" spans="1:12" ht="11.25" customHeight="1" x14ac:dyDescent="0.2">
      <c r="A13" s="26" t="s">
        <v>21</v>
      </c>
      <c r="B13" s="23">
        <v>65806.103999999992</v>
      </c>
      <c r="C13" s="24">
        <v>2339390.821133167</v>
      </c>
      <c r="D13" s="24"/>
      <c r="E13" s="24">
        <v>242475608.78999999</v>
      </c>
      <c r="F13" s="24">
        <v>5910644.1600000001</v>
      </c>
      <c r="G13" s="24"/>
      <c r="H13" s="24">
        <v>11195927.649999982</v>
      </c>
      <c r="I13" s="25"/>
      <c r="J13" s="25">
        <v>2684175.9299999983</v>
      </c>
      <c r="K13" s="25">
        <v>31048.059999999969</v>
      </c>
      <c r="L13" s="24">
        <v>2284.4100000000003</v>
      </c>
    </row>
    <row r="14" spans="1:12" ht="15.75" x14ac:dyDescent="0.2">
      <c r="A14" s="26" t="s">
        <v>22</v>
      </c>
      <c r="B14" s="23"/>
      <c r="C14" s="24">
        <v>12547449.125961142</v>
      </c>
      <c r="D14" s="24"/>
      <c r="E14" s="24">
        <v>286402699.15000015</v>
      </c>
      <c r="F14" s="24">
        <v>10381545.26</v>
      </c>
      <c r="G14" s="24">
        <v>38438.673348712648</v>
      </c>
      <c r="H14" s="24">
        <v>20896533.310000058</v>
      </c>
      <c r="I14" s="25"/>
      <c r="J14" s="25">
        <v>725033.1599999998</v>
      </c>
      <c r="K14" s="25">
        <v>99706.840000000113</v>
      </c>
      <c r="L14" s="24">
        <v>20413.960000000028</v>
      </c>
    </row>
    <row r="15" spans="1:12" ht="11.25" customHeight="1" x14ac:dyDescent="0.2">
      <c r="A15" s="26" t="s">
        <v>23</v>
      </c>
      <c r="B15" s="23"/>
      <c r="C15" s="24">
        <v>1763549.5671756191</v>
      </c>
      <c r="D15" s="24"/>
      <c r="E15" s="24">
        <v>95232205.060000002</v>
      </c>
      <c r="F15" s="24">
        <v>459897.16</v>
      </c>
      <c r="G15" s="24"/>
      <c r="H15" s="24">
        <v>7138953.1399999931</v>
      </c>
      <c r="I15" s="25"/>
      <c r="J15" s="25">
        <v>453092.05</v>
      </c>
      <c r="K15" s="25">
        <v>41961.95999999997</v>
      </c>
      <c r="L15" s="24">
        <v>72499.25999999998</v>
      </c>
    </row>
    <row r="16" spans="1:12" ht="11.25" customHeight="1" x14ac:dyDescent="0.2">
      <c r="A16" s="26" t="s">
        <v>24</v>
      </c>
      <c r="B16" s="23"/>
      <c r="C16" s="24">
        <v>55207966.022816278</v>
      </c>
      <c r="D16" s="24"/>
      <c r="E16" s="24">
        <v>112554420.99999999</v>
      </c>
      <c r="F16" s="24">
        <v>24528.44</v>
      </c>
      <c r="G16" s="24"/>
      <c r="H16" s="24">
        <v>2611960.3199999994</v>
      </c>
      <c r="I16" s="25"/>
      <c r="J16" s="25">
        <v>124117.78000000001</v>
      </c>
      <c r="K16" s="25">
        <v>70586.090000000011</v>
      </c>
      <c r="L16" s="24">
        <v>7108.5499999999965</v>
      </c>
    </row>
    <row r="17" spans="1:12" ht="11.25" customHeight="1" x14ac:dyDescent="0.2">
      <c r="A17" s="26" t="s">
        <v>25</v>
      </c>
      <c r="B17" s="23"/>
      <c r="C17" s="24">
        <v>1363050.2019893001</v>
      </c>
      <c r="D17" s="24"/>
      <c r="E17" s="24">
        <v>1692445904.6800008</v>
      </c>
      <c r="F17" s="24">
        <v>9584734.9199999999</v>
      </c>
      <c r="G17" s="24"/>
      <c r="H17" s="24">
        <v>12985497.279999973</v>
      </c>
      <c r="I17" s="25"/>
      <c r="J17" s="25">
        <v>395196.74000000017</v>
      </c>
      <c r="K17" s="25">
        <v>64001.429999999971</v>
      </c>
      <c r="L17" s="24">
        <v>43810.140000000014</v>
      </c>
    </row>
    <row r="18" spans="1:12" ht="15.75" x14ac:dyDescent="0.2">
      <c r="A18" s="26" t="s">
        <v>26</v>
      </c>
      <c r="B18" s="23"/>
      <c r="C18" s="24">
        <v>342095.96806208463</v>
      </c>
      <c r="D18" s="24"/>
      <c r="E18" s="24">
        <v>19970464.66</v>
      </c>
      <c r="F18" s="24"/>
      <c r="G18" s="24"/>
      <c r="H18" s="24">
        <v>3386427.86</v>
      </c>
      <c r="I18" s="25"/>
      <c r="J18" s="25">
        <v>290871.03999999998</v>
      </c>
      <c r="K18" s="25">
        <v>93133.160000000076</v>
      </c>
      <c r="L18" s="24">
        <v>5245.6799999999967</v>
      </c>
    </row>
    <row r="19" spans="1:12" ht="15.75" x14ac:dyDescent="0.2">
      <c r="A19" s="26" t="s">
        <v>27</v>
      </c>
      <c r="B19" s="23">
        <v>13899479.93</v>
      </c>
      <c r="C19" s="24">
        <v>1924557.808191343</v>
      </c>
      <c r="D19" s="24"/>
      <c r="E19" s="24">
        <v>162382837.80000001</v>
      </c>
      <c r="F19" s="24">
        <v>435830.57</v>
      </c>
      <c r="G19" s="24"/>
      <c r="H19" s="24">
        <v>21158699.909999993</v>
      </c>
      <c r="I19" s="25"/>
      <c r="J19" s="25">
        <v>732567.93999999971</v>
      </c>
      <c r="K19" s="25">
        <v>26372.400000000001</v>
      </c>
      <c r="L19" s="24">
        <v>23664.509999999995</v>
      </c>
    </row>
    <row r="20" spans="1:12" ht="15.75" x14ac:dyDescent="0.2">
      <c r="A20" s="26" t="s">
        <v>28</v>
      </c>
      <c r="B20" s="23"/>
      <c r="C20" s="24">
        <v>46638689.432302549</v>
      </c>
      <c r="D20" s="24"/>
      <c r="E20" s="24">
        <v>303595089.64999992</v>
      </c>
      <c r="F20" s="24">
        <v>6739767.3499999996</v>
      </c>
      <c r="G20" s="24"/>
      <c r="H20" s="24">
        <v>18773916.589999977</v>
      </c>
      <c r="I20" s="25"/>
      <c r="J20" s="25">
        <v>173886.55000000002</v>
      </c>
      <c r="K20" s="25">
        <v>132566.63</v>
      </c>
      <c r="L20" s="24">
        <v>31621.600000000002</v>
      </c>
    </row>
    <row r="21" spans="1:12" ht="15.75" x14ac:dyDescent="0.2">
      <c r="A21" s="26" t="s">
        <v>29</v>
      </c>
      <c r="B21" s="27"/>
      <c r="C21" s="23">
        <v>687466.57270565978</v>
      </c>
      <c r="D21" s="23"/>
      <c r="E21" s="24">
        <v>374646909.17000014</v>
      </c>
      <c r="F21" s="24">
        <v>131284.56</v>
      </c>
      <c r="G21" s="24"/>
      <c r="H21" s="24">
        <v>15753690.110000022</v>
      </c>
      <c r="I21" s="25"/>
      <c r="J21" s="25">
        <v>707712.42</v>
      </c>
      <c r="K21" s="25">
        <v>102420.22999999992</v>
      </c>
      <c r="L21" s="24">
        <v>65106.300000000017</v>
      </c>
    </row>
    <row r="22" spans="1:12" ht="15.75" x14ac:dyDescent="0.2">
      <c r="A22" s="28" t="s">
        <v>30</v>
      </c>
      <c r="B22" s="23"/>
      <c r="C22" s="24">
        <v>17112041.186224632</v>
      </c>
      <c r="D22" s="24"/>
      <c r="E22" s="24"/>
      <c r="F22" s="24"/>
      <c r="G22" s="24"/>
      <c r="H22" s="24">
        <v>4335223.2699999996</v>
      </c>
      <c r="I22" s="25">
        <v>35126367.510001153</v>
      </c>
      <c r="J22" s="25">
        <v>300484931.78000796</v>
      </c>
      <c r="K22" s="25"/>
      <c r="L22" s="24"/>
    </row>
    <row r="23" spans="1:12" s="29" customFormat="1" x14ac:dyDescent="0.25">
      <c r="A23" s="30" t="s">
        <v>31</v>
      </c>
      <c r="B23" s="31">
        <f>SUM(B9:B22)</f>
        <v>13965286.034</v>
      </c>
      <c r="C23" s="31">
        <f>SUM(C9:C22)</f>
        <v>546205499.96789157</v>
      </c>
      <c r="D23" s="31">
        <f>SUM(D9:D22)</f>
        <v>1640677.7486217804</v>
      </c>
      <c r="E23" s="31">
        <f>SUM(E9:E22)</f>
        <v>5392962581.7946234</v>
      </c>
      <c r="F23" s="31">
        <f t="shared" ref="F23:L23" si="0">SUM(F9:F22)</f>
        <v>61442089.550000004</v>
      </c>
      <c r="G23" s="31">
        <f>SUM(G9:G22)</f>
        <v>1837642.8817575248</v>
      </c>
      <c r="H23" s="31">
        <f t="shared" si="0"/>
        <v>567781279.62999916</v>
      </c>
      <c r="I23" s="31">
        <f t="shared" si="0"/>
        <v>35126367.510001153</v>
      </c>
      <c r="J23" s="31">
        <f>SUM(J9:J22)</f>
        <v>518943871.65000147</v>
      </c>
      <c r="K23" s="31">
        <f>SUM(K9:K22)</f>
        <v>1776629.0100000035</v>
      </c>
      <c r="L23" s="31">
        <f t="shared" si="0"/>
        <v>2250137.5499999998</v>
      </c>
    </row>
    <row r="24" spans="1:12" s="29" customFormat="1" ht="15" x14ac:dyDescent="0.25">
      <c r="A24" s="32" t="s">
        <v>32</v>
      </c>
      <c r="B24" s="33"/>
      <c r="C24" s="33"/>
      <c r="D24" s="33"/>
      <c r="E24" s="33"/>
      <c r="F24" s="33"/>
      <c r="G24" s="33"/>
      <c r="H24" s="33"/>
      <c r="I24" s="34"/>
      <c r="J24" s="34"/>
      <c r="K24" s="35"/>
      <c r="L24" s="31">
        <f>SUM(B23:L23)</f>
        <v>7143932063.3268967</v>
      </c>
    </row>
    <row r="25" spans="1:12" s="12" customFormat="1" x14ac:dyDescent="0.25">
      <c r="A25" s="12" t="s">
        <v>33</v>
      </c>
      <c r="B25" s="13"/>
    </row>
    <row r="26" spans="1:12" s="12" customFormat="1" x14ac:dyDescent="0.25">
      <c r="A26" s="12" t="s">
        <v>34</v>
      </c>
      <c r="B26" s="13"/>
    </row>
    <row r="27" spans="1:12" s="12" customFormat="1" x14ac:dyDescent="0.25">
      <c r="A27" s="36" t="s">
        <v>35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9" spans="1:12" ht="15" x14ac:dyDescent="0.25">
      <c r="B29" s="37"/>
      <c r="C29" s="4"/>
      <c r="D29" s="4"/>
    </row>
  </sheetData>
  <mergeCells count="11">
    <mergeCell ref="K7:K8"/>
    <mergeCell ref="L7:L8"/>
    <mergeCell ref="A24:K24"/>
    <mergeCell ref="A27:L27"/>
    <mergeCell ref="A1:L1"/>
    <mergeCell ref="A2:L2"/>
    <mergeCell ref="A4:L4"/>
    <mergeCell ref="A5:L5"/>
    <mergeCell ref="B7:H7"/>
    <mergeCell ref="I7:J7"/>
    <mergeCell ref="A7:A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2026-02-23T18:48:41Z</dcterms:created>
  <dcterms:modified xsi:type="dcterms:W3CDTF">2026-02-23T18:49:37Z</dcterms:modified>
</cp:coreProperties>
</file>