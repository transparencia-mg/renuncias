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esktop\RENUNCIAS\"/>
    </mc:Choice>
  </mc:AlternateContent>
  <bookViews>
    <workbookView xWindow="0" yWindow="0" windowWidth="21600" windowHeight="873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3" i="1" l="1"/>
  <c r="K23" i="1"/>
  <c r="J23" i="1"/>
  <c r="I23" i="1"/>
  <c r="H23" i="1"/>
  <c r="G23" i="1"/>
  <c r="F23" i="1"/>
  <c r="E23" i="1"/>
  <c r="L24" i="1" s="1"/>
  <c r="D23" i="1"/>
  <c r="C23" i="1"/>
  <c r="B23" i="1"/>
</calcChain>
</file>

<file path=xl/sharedStrings.xml><?xml version="1.0" encoding="utf-8"?>
<sst xmlns="http://schemas.openxmlformats.org/spreadsheetml/2006/main" count="41" uniqueCount="39">
  <si>
    <t>DEMONSTRATIVO REGIONALIZADO DO EFEITO SOBRE A RECEITA E A DESPESA DECORRENTE DE ISENÇÃO, ANISTIA, TRANSAÇÃO, REMISSÃO, SUBSÍDIO E BENEFICIO DE NATUREZA FINANCEIRA, TRIBUTÁRIO E CREDITÍCIA</t>
  </si>
  <si>
    <t>Tabela 4 - Minas Gerais - Estimativa Regionalizada das Renúncias Pré Existentes</t>
  </si>
  <si>
    <t>REGIONALIZAÇÃO</t>
  </si>
  <si>
    <t>ICMS por Modalidade de Renúncia</t>
  </si>
  <si>
    <t>IPVA</t>
  </si>
  <si>
    <t>Anistia - ITCD</t>
  </si>
  <si>
    <t>Anistia - Taxa</t>
  </si>
  <si>
    <t>Isenção</t>
  </si>
  <si>
    <t>Redução da Base de Cálculo</t>
  </si>
  <si>
    <t>Redução de Alíquota</t>
  </si>
  <si>
    <t>Crédito Presumido</t>
  </si>
  <si>
    <t>Incentivo a Cultura e Esporte</t>
  </si>
  <si>
    <t>Suframa</t>
  </si>
  <si>
    <t>Anistia</t>
  </si>
  <si>
    <t>Barbacena</t>
  </si>
  <si>
    <t>Belo Horizonte</t>
  </si>
  <si>
    <t>Divinópolis</t>
  </si>
  <si>
    <t>Governador Valadares</t>
  </si>
  <si>
    <t>Ipatinga</t>
  </si>
  <si>
    <t>Juíz de Fora</t>
  </si>
  <si>
    <t>Montes Claros</t>
  </si>
  <si>
    <t>Patos de Minas</t>
  </si>
  <si>
    <t>Pouso Alegre</t>
  </si>
  <si>
    <t>Teófilo Otoni</t>
  </si>
  <si>
    <t>Uberaba</t>
  </si>
  <si>
    <t>Uberlândia</t>
  </si>
  <si>
    <t>Varginha</t>
  </si>
  <si>
    <t>SUB TOTAL</t>
  </si>
  <si>
    <t>TOTAL</t>
  </si>
  <si>
    <t>Contribuintes Não inscritos</t>
  </si>
  <si>
    <t>Elaboração: DIEF/SAIF/SEF-MG</t>
  </si>
  <si>
    <t>1 - Para a quantificação das renúncias fiscais do ICMS formalizadas em regimes especiais, a SEF/MG agrega e consolida por núcleo de CNPJ, os dados informados pelos contribuintes na DAPI - Declaração de Apuração do ICMS, Portaria SRE-117/2013, modalidade de autolançamento do imposto, e complementa eventualmente com os dados dos demais documentos eletrônicos emitidos pelos mesmos. Essas informações estão sujeitas à revisão fiscal no prazo decadencial de 5 anos.</t>
  </si>
  <si>
    <t>Para corrigir a distorção de contribuintes que não escrituram créditos por entradas integralmente, suprindo-os por crédito presumido a maior, proporcionando renúncia superestimada, a SEF/MG compara os valores totais de créditos informados na DAPI (campo 43x3), com os totais de ICMS destacados em NFe pelos remetentes para esses beneficiados. Caso o montante dessa proxy seja superior aos créditos escriturados na DAPI, a SEF/MG deduz essa diferença da estimativa da renúncia.</t>
  </si>
  <si>
    <t>Em relação ao procedimento indevido de alguns contribuintes de utilizarem campos impróprios da declaração, a SEF/MG apura o saldo devedor operacional dos créditos e débitos destacados em NFe e compara com o ICMS devido e/ou pago informado na DAPI, sendo estimada como renúncia essa eventual diferença.</t>
  </si>
  <si>
    <t>(inciso IX do artigo 7º da Lei nº 24.404, de 02/08/2023)</t>
  </si>
  <si>
    <t>Exercício Fiscal  de 2024</t>
  </si>
  <si>
    <t>( valores em R$ a preços de 2023)</t>
  </si>
  <si>
    <t>Fonte: Dados Cognos, SAS, SIARE/MG e SUCRED/SEF - julho 2023</t>
  </si>
  <si>
    <t>Obs.: Receita Orçamentária Fiscal: Receitas Correntes = R$ 141.642.784.127; Receita Tributária (Impostos, Taxas e Contribuições de Melhoria) = R$ 103.007.227.969;  ICMS com juros,multas e dívida ativa = R$ 79.042.161.520.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</si>
</sst>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40">
    <xf numFmtId="0" fontId="0" fillId="0" borderId="0" xfId="0"/>
    <xf numFmtId="0" fontId="2" fillId="0" borderId="0" xfId="2"/>
    <xf numFmtId="0" fontId="2" fillId="0" borderId="0" xfId="2" applyAlignment="1">
      <alignment horizontal="right"/>
    </xf>
    <xf numFmtId="0" fontId="8" fillId="0" borderId="0" xfId="2" applyFont="1"/>
    <xf numFmtId="0" fontId="2" fillId="0" borderId="0" xfId="2" applyAlignment="1">
      <alignment vertical="center"/>
    </xf>
    <xf numFmtId="0" fontId="2" fillId="0" borderId="0" xfId="2" applyAlignment="1">
      <alignment horizontal="right" vertical="center"/>
    </xf>
    <xf numFmtId="0" fontId="3" fillId="2" borderId="10" xfId="2" applyFont="1" applyFill="1" applyBorder="1" applyAlignment="1">
      <alignment horizontal="center" vertical="center"/>
    </xf>
    <xf numFmtId="0" fontId="3" fillId="2" borderId="10" xfId="2" applyFont="1" applyFill="1" applyBorder="1" applyAlignment="1">
      <alignment horizontal="center" vertical="center" wrapText="1"/>
    </xf>
    <xf numFmtId="0" fontId="3" fillId="0" borderId="0" xfId="2" applyFont="1" applyAlignment="1">
      <alignment vertical="center"/>
    </xf>
    <xf numFmtId="3" fontId="3" fillId="2" borderId="3" xfId="2" applyNumberFormat="1" applyFont="1" applyFill="1" applyBorder="1" applyAlignment="1">
      <alignment vertical="center"/>
    </xf>
    <xf numFmtId="43" fontId="2" fillId="0" borderId="0" xfId="1" applyFont="1" applyBorder="1" applyAlignment="1">
      <alignment horizontal="right"/>
    </xf>
    <xf numFmtId="0" fontId="7" fillId="3" borderId="4" xfId="2" applyFont="1" applyFill="1" applyBorder="1" applyAlignment="1">
      <alignment horizontal="left" vertical="center" wrapText="1"/>
    </xf>
    <xf numFmtId="3" fontId="2" fillId="0" borderId="5" xfId="2" applyNumberFormat="1" applyBorder="1"/>
    <xf numFmtId="3" fontId="2" fillId="0" borderId="5" xfId="2" applyNumberFormat="1" applyBorder="1" applyAlignment="1">
      <alignment vertical="center"/>
    </xf>
    <xf numFmtId="3" fontId="9" fillId="0" borderId="5" xfId="2" applyNumberFormat="1" applyFont="1" applyBorder="1" applyAlignment="1">
      <alignment vertical="center"/>
    </xf>
    <xf numFmtId="3" fontId="2" fillId="0" borderId="6" xfId="2" applyNumberFormat="1" applyBorder="1" applyAlignment="1">
      <alignment vertical="center"/>
    </xf>
    <xf numFmtId="0" fontId="2" fillId="0" borderId="5" xfId="2" applyBorder="1" applyAlignment="1">
      <alignment horizontal="right"/>
    </xf>
    <xf numFmtId="3" fontId="9" fillId="0" borderId="5" xfId="2" applyNumberFormat="1" applyFont="1" applyBorder="1"/>
    <xf numFmtId="0" fontId="7" fillId="3" borderId="4" xfId="2" applyFont="1" applyFill="1" applyBorder="1" applyAlignment="1">
      <alignment horizontal="left" vertical="center"/>
    </xf>
    <xf numFmtId="0" fontId="6" fillId="2" borderId="9" xfId="2" applyFont="1" applyFill="1" applyBorder="1" applyAlignment="1">
      <alignment horizontal="left" vertical="center" wrapText="1"/>
    </xf>
    <xf numFmtId="3" fontId="3" fillId="2" borderId="7" xfId="2" applyNumberFormat="1" applyFont="1" applyFill="1" applyBorder="1" applyAlignment="1">
      <alignment vertical="center"/>
    </xf>
    <xf numFmtId="0" fontId="4" fillId="0" borderId="0" xfId="2" applyFont="1" applyAlignment="1">
      <alignment vertical="center"/>
    </xf>
    <xf numFmtId="3" fontId="2" fillId="0" borderId="0" xfId="2" applyNumberFormat="1" applyAlignment="1">
      <alignment vertical="center"/>
    </xf>
    <xf numFmtId="0" fontId="4" fillId="0" borderId="0" xfId="2" applyFont="1" applyAlignment="1">
      <alignment horizontal="left" vertical="top" wrapText="1"/>
    </xf>
    <xf numFmtId="0" fontId="3" fillId="2" borderId="1" xfId="2" applyFont="1" applyFill="1" applyBorder="1" applyAlignment="1">
      <alignment horizontal="center" vertical="center" wrapText="1"/>
    </xf>
    <xf numFmtId="0" fontId="3" fillId="2" borderId="11" xfId="2" applyFont="1" applyFill="1" applyBorder="1" applyAlignment="1">
      <alignment horizontal="center" vertical="center" wrapText="1"/>
    </xf>
    <xf numFmtId="0" fontId="6" fillId="2" borderId="8" xfId="2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4" fillId="0" borderId="0" xfId="2" applyFont="1" applyAlignment="1">
      <alignment horizontal="left" vertical="center" wrapText="1"/>
    </xf>
    <xf numFmtId="0" fontId="2" fillId="0" borderId="0" xfId="2" applyAlignment="1">
      <alignment horizontal="left" vertical="center" wrapText="1"/>
    </xf>
    <xf numFmtId="0" fontId="7" fillId="2" borderId="2" xfId="2" applyFont="1" applyFill="1" applyBorder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0" fontId="3" fillId="2" borderId="3" xfId="2" applyFont="1" applyFill="1" applyBorder="1" applyAlignment="1">
      <alignment horizontal="center" vertical="center" wrapText="1"/>
    </xf>
    <xf numFmtId="0" fontId="2" fillId="0" borderId="3" xfId="2" applyBorder="1" applyAlignment="1">
      <alignment horizontal="center" vertical="center" wrapText="1"/>
    </xf>
    <xf numFmtId="0" fontId="3" fillId="2" borderId="9" xfId="2" applyFont="1" applyFill="1" applyBorder="1" applyAlignment="1">
      <alignment horizontal="center" vertical="center" wrapText="1"/>
    </xf>
    <xf numFmtId="0" fontId="2" fillId="0" borderId="12" xfId="2" applyBorder="1" applyAlignment="1">
      <alignment horizontal="center" vertical="center" wrapText="1"/>
    </xf>
    <xf numFmtId="0" fontId="2" fillId="0" borderId="0" xfId="2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3" fontId="3" fillId="0" borderId="0" xfId="2" applyNumberFormat="1" applyFont="1" applyAlignment="1">
      <alignment vertical="center"/>
    </xf>
  </cellXfs>
  <cellStyles count="3">
    <cellStyle name="Normal" xfId="0" builtinId="0"/>
    <cellStyle name="Normal 2" xfId="2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"/>
  <sheetViews>
    <sheetView tabSelected="1" workbookViewId="0">
      <selection sqref="A1:XFD1048576"/>
    </sheetView>
  </sheetViews>
  <sheetFormatPr defaultColWidth="9.140625" defaultRowHeight="12.75" x14ac:dyDescent="0.2"/>
  <cols>
    <col min="1" max="1" width="32.140625" style="1" customWidth="1"/>
    <col min="2" max="2" width="11.42578125" style="2" bestFit="1" customWidth="1"/>
    <col min="3" max="3" width="13.140625" style="1" customWidth="1"/>
    <col min="4" max="4" width="9.85546875" style="1" customWidth="1"/>
    <col min="5" max="5" width="13.85546875" style="1" customWidth="1"/>
    <col min="6" max="6" width="14.7109375" style="1" customWidth="1"/>
    <col min="7" max="7" width="10.28515625" style="1" customWidth="1"/>
    <col min="8" max="8" width="11.140625" style="1" bestFit="1" customWidth="1"/>
    <col min="9" max="9" width="10.140625" style="1" bestFit="1" customWidth="1"/>
    <col min="10" max="10" width="13.42578125" style="1" customWidth="1"/>
    <col min="11" max="11" width="9.140625" style="1" bestFit="1" customWidth="1"/>
    <col min="12" max="12" width="13.85546875" style="1" customWidth="1"/>
    <col min="13" max="13" width="9.140625" style="1"/>
    <col min="14" max="14" width="11.42578125" style="1" bestFit="1" customWidth="1"/>
    <col min="15" max="16384" width="9.140625" style="1"/>
  </cols>
  <sheetData>
    <row r="1" spans="1:12" ht="18.95" customHeight="1" x14ac:dyDescent="0.2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x14ac:dyDescent="0.2">
      <c r="A2" s="37" t="s">
        <v>34</v>
      </c>
      <c r="B2" s="37"/>
      <c r="C2" s="37"/>
      <c r="D2" s="37"/>
      <c r="E2" s="37"/>
      <c r="F2" s="37"/>
      <c r="G2" s="37"/>
      <c r="H2" s="37"/>
      <c r="I2" s="38"/>
      <c r="J2" s="38"/>
      <c r="K2" s="38"/>
      <c r="L2" s="38"/>
    </row>
    <row r="3" spans="1:12" x14ac:dyDescent="0.2">
      <c r="A3" s="3"/>
      <c r="B3" s="1"/>
    </row>
    <row r="4" spans="1:12" ht="12.75" customHeight="1" x14ac:dyDescent="0.2">
      <c r="A4" s="32" t="s">
        <v>1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</row>
    <row r="5" spans="1:12" ht="15" x14ac:dyDescent="0.2">
      <c r="A5" s="32" t="s">
        <v>35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</row>
    <row r="6" spans="1:12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5"/>
      <c r="L6" s="10" t="s">
        <v>36</v>
      </c>
    </row>
    <row r="7" spans="1:12" ht="12.75" customHeight="1" x14ac:dyDescent="0.2">
      <c r="A7" s="35" t="s">
        <v>2</v>
      </c>
      <c r="B7" s="33" t="s">
        <v>3</v>
      </c>
      <c r="C7" s="34"/>
      <c r="D7" s="34"/>
      <c r="E7" s="34"/>
      <c r="F7" s="34"/>
      <c r="G7" s="34"/>
      <c r="H7" s="34"/>
      <c r="I7" s="33" t="s">
        <v>4</v>
      </c>
      <c r="J7" s="34"/>
      <c r="K7" s="24" t="s">
        <v>5</v>
      </c>
      <c r="L7" s="24" t="s">
        <v>6</v>
      </c>
    </row>
    <row r="8" spans="1:12" ht="39" thickBot="1" x14ac:dyDescent="0.25">
      <c r="A8" s="36"/>
      <c r="B8" s="6" t="s">
        <v>7</v>
      </c>
      <c r="C8" s="7" t="s">
        <v>8</v>
      </c>
      <c r="D8" s="7" t="s">
        <v>9</v>
      </c>
      <c r="E8" s="7" t="s">
        <v>10</v>
      </c>
      <c r="F8" s="7" t="s">
        <v>11</v>
      </c>
      <c r="G8" s="7" t="s">
        <v>12</v>
      </c>
      <c r="H8" s="7" t="s">
        <v>13</v>
      </c>
      <c r="I8" s="6" t="s">
        <v>7</v>
      </c>
      <c r="J8" s="7" t="s">
        <v>9</v>
      </c>
      <c r="K8" s="25"/>
      <c r="L8" s="25"/>
    </row>
    <row r="9" spans="1:12" ht="16.5" thickTop="1" x14ac:dyDescent="0.2">
      <c r="A9" s="11" t="s">
        <v>14</v>
      </c>
      <c r="B9" s="12">
        <v>74837511.563099995</v>
      </c>
      <c r="C9" s="13">
        <v>4398090.2626890661</v>
      </c>
      <c r="D9" s="14"/>
      <c r="E9" s="13">
        <v>357509869.08000016</v>
      </c>
      <c r="F9" s="13">
        <v>9986152.6400000006</v>
      </c>
      <c r="G9" s="14"/>
      <c r="H9" s="13">
        <v>10962288.859999999</v>
      </c>
      <c r="I9" s="15"/>
      <c r="J9" s="15">
        <v>671704.19524662604</v>
      </c>
      <c r="K9" s="15">
        <v>20274.939999999999</v>
      </c>
      <c r="L9" s="15">
        <v>4640.8099999999904</v>
      </c>
    </row>
    <row r="10" spans="1:12" ht="15.75" x14ac:dyDescent="0.2">
      <c r="A10" s="11" t="s">
        <v>15</v>
      </c>
      <c r="B10" s="12">
        <v>118377731.48550001</v>
      </c>
      <c r="C10" s="13">
        <v>360311823.88187295</v>
      </c>
      <c r="D10" s="13">
        <v>1899873.6382384878</v>
      </c>
      <c r="E10" s="13">
        <v>4192019706.3799977</v>
      </c>
      <c r="F10" s="13">
        <v>85737224.530000001</v>
      </c>
      <c r="G10" s="13">
        <v>7004345.485083133</v>
      </c>
      <c r="H10" s="13">
        <v>91528259.749999806</v>
      </c>
      <c r="I10" s="15"/>
      <c r="J10" s="15">
        <v>2634739970.0503898</v>
      </c>
      <c r="K10" s="15">
        <v>2262590.4900000002</v>
      </c>
      <c r="L10" s="15">
        <v>2038214.06</v>
      </c>
    </row>
    <row r="11" spans="1:12" ht="15.75" x14ac:dyDescent="0.2">
      <c r="A11" s="11" t="s">
        <v>16</v>
      </c>
      <c r="B11" s="12">
        <v>141199.65359999996</v>
      </c>
      <c r="C11" s="13">
        <v>109107651.87395467</v>
      </c>
      <c r="D11" s="14"/>
      <c r="E11" s="13">
        <v>559956624.05999982</v>
      </c>
      <c r="F11" s="13">
        <v>3875525.44</v>
      </c>
      <c r="G11" s="13">
        <v>479482.12313898461</v>
      </c>
      <c r="H11" s="13">
        <v>14248902.35</v>
      </c>
      <c r="I11" s="15"/>
      <c r="J11" s="15">
        <v>15938291.487575799</v>
      </c>
      <c r="K11" s="15">
        <v>55668.98</v>
      </c>
      <c r="L11" s="15">
        <v>14520.12</v>
      </c>
    </row>
    <row r="12" spans="1:12" ht="15.75" x14ac:dyDescent="0.2">
      <c r="A12" s="11" t="s">
        <v>17</v>
      </c>
      <c r="B12" s="12"/>
      <c r="C12" s="13">
        <v>42436818.4839046</v>
      </c>
      <c r="D12" s="14"/>
      <c r="E12" s="13">
        <v>67130000.959999993</v>
      </c>
      <c r="F12" s="13"/>
      <c r="G12" s="13"/>
      <c r="H12" s="13">
        <v>6484400.2199999997</v>
      </c>
      <c r="I12" s="15"/>
      <c r="J12" s="15">
        <v>2316756.02406178</v>
      </c>
      <c r="K12" s="15">
        <v>17693.740000000002</v>
      </c>
      <c r="L12" s="15">
        <v>6252.34</v>
      </c>
    </row>
    <row r="13" spans="1:12" ht="11.25" customHeight="1" x14ac:dyDescent="0.2">
      <c r="A13" s="11" t="s">
        <v>18</v>
      </c>
      <c r="B13" s="12">
        <v>4314766.9773000004</v>
      </c>
      <c r="C13" s="13">
        <v>6784862.2518132944</v>
      </c>
      <c r="D13" s="14"/>
      <c r="E13" s="13">
        <v>741281913.70999968</v>
      </c>
      <c r="F13" s="13">
        <v>23183685.73</v>
      </c>
      <c r="G13" s="13"/>
      <c r="H13" s="13">
        <v>10038203.91</v>
      </c>
      <c r="I13" s="15"/>
      <c r="J13" s="15">
        <v>14263308.1631801</v>
      </c>
      <c r="K13" s="15">
        <v>80225.7</v>
      </c>
      <c r="L13" s="15">
        <v>34523.29</v>
      </c>
    </row>
    <row r="14" spans="1:12" ht="15.75" x14ac:dyDescent="0.2">
      <c r="A14" s="11" t="s">
        <v>19</v>
      </c>
      <c r="B14" s="12">
        <v>1462624.4506999999</v>
      </c>
      <c r="C14" s="13">
        <v>13024528.323998045</v>
      </c>
      <c r="D14" s="14"/>
      <c r="E14" s="13">
        <v>508531790.0999999</v>
      </c>
      <c r="F14" s="13">
        <v>10323019.729999999</v>
      </c>
      <c r="G14" s="13">
        <v>6226.4354279249001</v>
      </c>
      <c r="H14" s="13">
        <v>26873220.300000001</v>
      </c>
      <c r="I14" s="15"/>
      <c r="J14" s="15">
        <v>6024453.0102800503</v>
      </c>
      <c r="K14" s="15">
        <v>124403.69</v>
      </c>
      <c r="L14" s="15">
        <v>19541.669999999998</v>
      </c>
    </row>
    <row r="15" spans="1:12" ht="11.25" customHeight="1" x14ac:dyDescent="0.2">
      <c r="A15" s="11" t="s">
        <v>20</v>
      </c>
      <c r="B15" s="12"/>
      <c r="C15" s="13">
        <v>2122933.600083089</v>
      </c>
      <c r="D15" s="14"/>
      <c r="E15" s="13">
        <v>213729585.33000007</v>
      </c>
      <c r="F15" s="13">
        <v>366192.31</v>
      </c>
      <c r="G15" s="13"/>
      <c r="H15" s="13">
        <v>6835492.7199999904</v>
      </c>
      <c r="I15" s="15"/>
      <c r="J15" s="15">
        <v>2911810.8686401802</v>
      </c>
      <c r="K15" s="15">
        <v>94367.679999999906</v>
      </c>
      <c r="L15" s="15">
        <v>5535.3</v>
      </c>
    </row>
    <row r="16" spans="1:12" ht="11.25" customHeight="1" x14ac:dyDescent="0.2">
      <c r="A16" s="11" t="s">
        <v>21</v>
      </c>
      <c r="B16" s="12">
        <v>519.61199999999997</v>
      </c>
      <c r="C16" s="13">
        <v>2590584.1563636367</v>
      </c>
      <c r="D16" s="14"/>
      <c r="E16" s="13">
        <v>287468234.44</v>
      </c>
      <c r="F16" s="13">
        <v>511826.28</v>
      </c>
      <c r="G16" s="13"/>
      <c r="H16" s="13">
        <v>3983291.00999999</v>
      </c>
      <c r="I16" s="15"/>
      <c r="J16" s="15">
        <v>2545310.4008690901</v>
      </c>
      <c r="K16" s="15">
        <v>153662.91</v>
      </c>
      <c r="L16" s="15">
        <v>2779.66</v>
      </c>
    </row>
    <row r="17" spans="1:14" ht="11.25" customHeight="1" x14ac:dyDescent="0.2">
      <c r="A17" s="11" t="s">
        <v>22</v>
      </c>
      <c r="B17" s="12">
        <v>1987359.4752</v>
      </c>
      <c r="C17" s="13">
        <v>4159637.7670384324</v>
      </c>
      <c r="D17" s="14"/>
      <c r="E17" s="13">
        <v>3473539355.630002</v>
      </c>
      <c r="F17" s="13">
        <v>25822758.68</v>
      </c>
      <c r="G17" s="13"/>
      <c r="H17" s="13">
        <v>11061936.390000001</v>
      </c>
      <c r="I17" s="15"/>
      <c r="J17" s="15">
        <v>6857376.7843033504</v>
      </c>
      <c r="K17" s="15">
        <v>116221.77</v>
      </c>
      <c r="L17" s="15">
        <v>237.58999999999801</v>
      </c>
    </row>
    <row r="18" spans="1:14" ht="15.75" x14ac:dyDescent="0.2">
      <c r="A18" s="11" t="s">
        <v>23</v>
      </c>
      <c r="B18" s="12"/>
      <c r="C18" s="13">
        <v>501830.7</v>
      </c>
      <c r="D18" s="14"/>
      <c r="E18" s="13">
        <v>47897253.680000007</v>
      </c>
      <c r="F18" s="13">
        <v>350483.4</v>
      </c>
      <c r="G18" s="13"/>
      <c r="H18" s="13">
        <v>5040525.71</v>
      </c>
      <c r="I18" s="15"/>
      <c r="J18" s="15">
        <v>1938892.3178240899</v>
      </c>
      <c r="K18" s="15">
        <v>54026.09</v>
      </c>
      <c r="L18" s="15">
        <v>1192.8</v>
      </c>
    </row>
    <row r="19" spans="1:14" ht="15.75" x14ac:dyDescent="0.2">
      <c r="A19" s="11" t="s">
        <v>24</v>
      </c>
      <c r="B19" s="12">
        <v>88798.932000000001</v>
      </c>
      <c r="C19" s="13">
        <v>2517949.1444037147</v>
      </c>
      <c r="D19" s="14"/>
      <c r="E19" s="13">
        <v>1053546963.89</v>
      </c>
      <c r="F19" s="13">
        <v>1026262.6000000001</v>
      </c>
      <c r="G19" s="13"/>
      <c r="H19" s="13">
        <v>11156142.73</v>
      </c>
      <c r="I19" s="15"/>
      <c r="J19" s="15">
        <v>9343015.5855621193</v>
      </c>
      <c r="K19" s="15">
        <v>269278.03000000003</v>
      </c>
      <c r="L19" s="15">
        <v>5836.119999999999</v>
      </c>
    </row>
    <row r="20" spans="1:14" ht="15.75" x14ac:dyDescent="0.2">
      <c r="A20" s="11" t="s">
        <v>25</v>
      </c>
      <c r="B20" s="12">
        <v>1175.9909</v>
      </c>
      <c r="C20" s="13">
        <v>37255466.167486958</v>
      </c>
      <c r="D20" s="14"/>
      <c r="E20" s="13">
        <v>862951687.50999999</v>
      </c>
      <c r="F20" s="13">
        <v>3560013.9</v>
      </c>
      <c r="G20" s="13"/>
      <c r="H20" s="13">
        <v>13588461.109999999</v>
      </c>
      <c r="I20" s="15"/>
      <c r="J20" s="15">
        <v>7820957.0264683999</v>
      </c>
      <c r="K20" s="15">
        <v>282384.25</v>
      </c>
      <c r="L20" s="15">
        <v>379.25000000000102</v>
      </c>
    </row>
    <row r="21" spans="1:14" ht="15.75" x14ac:dyDescent="0.2">
      <c r="A21" s="11" t="s">
        <v>26</v>
      </c>
      <c r="B21" s="16">
        <v>503.55360000000002</v>
      </c>
      <c r="C21" s="12">
        <v>2951608.8812854351</v>
      </c>
      <c r="D21" s="17"/>
      <c r="E21" s="13">
        <v>1025550946.9500003</v>
      </c>
      <c r="F21" s="13">
        <v>722716.71</v>
      </c>
      <c r="G21" s="13">
        <v>10771.041004529468</v>
      </c>
      <c r="H21" s="13">
        <v>14986381.949999999</v>
      </c>
      <c r="I21" s="15"/>
      <c r="J21" s="15">
        <v>5677235.08560385</v>
      </c>
      <c r="K21" s="15">
        <v>137848.47</v>
      </c>
      <c r="L21" s="15">
        <v>7395.07</v>
      </c>
    </row>
    <row r="22" spans="1:14" ht="15.75" x14ac:dyDescent="0.2">
      <c r="A22" s="18" t="s">
        <v>29</v>
      </c>
      <c r="B22" s="12">
        <v>65707878.420000002</v>
      </c>
      <c r="C22" s="13"/>
      <c r="D22" s="14"/>
      <c r="E22" s="14"/>
      <c r="F22" s="14"/>
      <c r="G22" s="14"/>
      <c r="H22" s="13">
        <v>1857563.63</v>
      </c>
      <c r="I22" s="15">
        <v>63238777.099991456</v>
      </c>
      <c r="J22" s="15"/>
      <c r="K22" s="15"/>
      <c r="L22" s="15"/>
    </row>
    <row r="23" spans="1:14" s="8" customFormat="1" x14ac:dyDescent="0.25">
      <c r="A23" s="19" t="s">
        <v>27</v>
      </c>
      <c r="B23" s="9">
        <f t="shared" ref="B23:E23" si="0">SUM(B9:B22)</f>
        <v>266920070.11390007</v>
      </c>
      <c r="C23" s="9">
        <f t="shared" si="0"/>
        <v>588163785.49489379</v>
      </c>
      <c r="D23" s="9">
        <f t="shared" si="0"/>
        <v>1899873.6382384878</v>
      </c>
      <c r="E23" s="9">
        <f t="shared" si="0"/>
        <v>13391113931.719999</v>
      </c>
      <c r="F23" s="9">
        <f>SUM(F9:F22)</f>
        <v>165465861.95000002</v>
      </c>
      <c r="G23" s="9">
        <f>SUM(G9:G22)</f>
        <v>7500825.0846545715</v>
      </c>
      <c r="H23" s="9">
        <f>SUM(H9:H22)</f>
        <v>228645070.63999981</v>
      </c>
      <c r="I23" s="9">
        <f>SUM(I22)</f>
        <v>63238777.099991456</v>
      </c>
      <c r="J23" s="9">
        <f>SUM(J9:J22)</f>
        <v>2711049081.0000043</v>
      </c>
      <c r="K23" s="9">
        <f>SUM(K9:K22)</f>
        <v>3668646.7400000007</v>
      </c>
      <c r="L23" s="20">
        <f>SUM(L9:L22)</f>
        <v>2141048.0799999996</v>
      </c>
      <c r="N23" s="39"/>
    </row>
    <row r="24" spans="1:14" s="8" customFormat="1" ht="15" x14ac:dyDescent="0.25">
      <c r="A24" s="26" t="s">
        <v>28</v>
      </c>
      <c r="B24" s="26"/>
      <c r="C24" s="26"/>
      <c r="D24" s="26"/>
      <c r="E24" s="26"/>
      <c r="F24" s="26"/>
      <c r="G24" s="26"/>
      <c r="H24" s="26"/>
      <c r="I24" s="27"/>
      <c r="J24" s="27"/>
      <c r="K24" s="28"/>
      <c r="L24" s="20">
        <f>SUM(B23:L23)</f>
        <v>17429806971.561684</v>
      </c>
    </row>
    <row r="25" spans="1:14" s="4" customFormat="1" x14ac:dyDescent="0.25">
      <c r="A25" s="21" t="s">
        <v>37</v>
      </c>
      <c r="B25" s="5"/>
    </row>
    <row r="26" spans="1:14" s="4" customFormat="1" x14ac:dyDescent="0.25">
      <c r="A26" s="21" t="s">
        <v>30</v>
      </c>
      <c r="B26" s="5"/>
      <c r="L26" s="22"/>
    </row>
    <row r="27" spans="1:14" s="4" customFormat="1" ht="12.75" customHeight="1" x14ac:dyDescent="0.25">
      <c r="A27" s="29" t="s">
        <v>38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</row>
    <row r="28" spans="1:14" ht="12.75" customHeight="1" x14ac:dyDescent="0.2">
      <c r="A28" s="23" t="s">
        <v>31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</row>
    <row r="29" spans="1:14" ht="12.75" customHeight="1" x14ac:dyDescent="0.2">
      <c r="A29" s="23" t="s">
        <v>32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</row>
    <row r="30" spans="1:14" ht="12.75" customHeight="1" x14ac:dyDescent="0.2">
      <c r="A30" s="23" t="s">
        <v>33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</row>
  </sheetData>
  <mergeCells count="14">
    <mergeCell ref="A1:L1"/>
    <mergeCell ref="A2:L2"/>
    <mergeCell ref="A4:L4"/>
    <mergeCell ref="A5:L5"/>
    <mergeCell ref="B7:H7"/>
    <mergeCell ref="I7:J7"/>
    <mergeCell ref="A7:A8"/>
    <mergeCell ref="A30:L30"/>
    <mergeCell ref="K7:K8"/>
    <mergeCell ref="L7:L8"/>
    <mergeCell ref="A24:K24"/>
    <mergeCell ref="A27:L27"/>
    <mergeCell ref="A28:L28"/>
    <mergeCell ref="A29:L2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2026-02-23T18:48:41Z</dcterms:created>
  <dcterms:modified xsi:type="dcterms:W3CDTF">2026-02-23T18:51:34Z</dcterms:modified>
</cp:coreProperties>
</file>