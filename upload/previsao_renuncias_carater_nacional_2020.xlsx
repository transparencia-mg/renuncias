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RENUNCIAS\"/>
    </mc:Choice>
  </mc:AlternateContent>
  <bookViews>
    <workbookView xWindow="0" yWindow="0" windowWidth="28800" windowHeight="1143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  <c r="G11" i="1"/>
  <c r="G10" i="1"/>
  <c r="G9" i="1"/>
</calcChain>
</file>

<file path=xl/sharedStrings.xml><?xml version="1.0" encoding="utf-8"?>
<sst xmlns="http://schemas.openxmlformats.org/spreadsheetml/2006/main" count="24" uniqueCount="23">
  <si>
    <t>DEMONSTRATIVO REGIONALIZADO DO EFEITO SOBRE A RECEITA E A DESPESA DECORRENTE DE ISENÇÃO, ANISTIA, TRANSAÇÃO, REMISSÃO, SUBSÍDIO E BENEFICIO DE NATUREZA FINANCEIRA, TRIBUTÁRIO E CREDITÍCIA</t>
  </si>
  <si>
    <t>(inciso IX do artigo 7º da Lei nº 23.364, de 25/07/2019)</t>
  </si>
  <si>
    <r>
      <t xml:space="preserve">Tabela 1 - Minas Gerais - Estimativa dos Efeitos da Receita decorrentes de Concessão de </t>
    </r>
    <r>
      <rPr>
        <b/>
        <sz val="11"/>
        <rFont val="Arial"/>
        <family val="2"/>
      </rPr>
      <t xml:space="preserve">Renúncias de Caráter Nacional </t>
    </r>
  </si>
  <si>
    <t>Exercício Fiscal de 2020</t>
  </si>
  <si>
    <t>(a preços de 2019)</t>
  </si>
  <si>
    <t xml:space="preserve">BENEFÍCIOS </t>
  </si>
  <si>
    <t>VALOR EM R$ MILHARES</t>
  </si>
  <si>
    <t xml:space="preserve">% PROPORÇÃO </t>
  </si>
  <si>
    <t>REC. CORRENTE</t>
  </si>
  <si>
    <t xml:space="preserve">REC. TRIBUTÁRIA </t>
  </si>
  <si>
    <t>ICMS</t>
  </si>
  <si>
    <r>
      <t xml:space="preserve">1. Lei Kandir - perda líquida após o ressarcimento </t>
    </r>
    <r>
      <rPr>
        <vertAlign val="superscript"/>
        <sz val="10"/>
        <rFont val="Arial"/>
        <family val="2"/>
      </rPr>
      <t>(1)</t>
    </r>
  </si>
  <si>
    <t>Receita Corrente</t>
  </si>
  <si>
    <t>2. Simples Nacional</t>
  </si>
  <si>
    <t>Receita Tributária</t>
  </si>
  <si>
    <t>TOTAL DE PERDAS</t>
  </si>
  <si>
    <r>
      <rPr>
        <b/>
        <sz val="8"/>
        <rFont val="Arial"/>
        <family val="2"/>
      </rPr>
      <t>Fonte:</t>
    </r>
    <r>
      <rPr>
        <sz val="8"/>
        <rFont val="Arial"/>
        <family val="2"/>
      </rPr>
      <t xml:space="preserve"> CONFAZ/ GT08 (Lei Kandir), DCGF/SCPPO/SEPLAG - DIEF/SAIF/SEF-MG</t>
    </r>
  </si>
  <si>
    <r>
      <rPr>
        <b/>
        <sz val="8"/>
        <rFont val="Arial"/>
        <family val="2"/>
      </rPr>
      <t>Elaboração:</t>
    </r>
    <r>
      <rPr>
        <sz val="8"/>
        <rFont val="Arial"/>
        <family val="2"/>
      </rPr>
      <t xml:space="preserve"> DPE/DIEF/SAIF/SEF-MG; </t>
    </r>
  </si>
  <si>
    <r>
      <rPr>
        <b/>
        <sz val="8"/>
        <rFont val="Arial"/>
        <family val="2"/>
      </rPr>
      <t>Elaboração:</t>
    </r>
    <r>
      <rPr>
        <sz val="8"/>
        <rFont val="Arial"/>
        <family val="2"/>
      </rPr>
      <t xml:space="preserve"> CONFAZ/ GT08 (Lei Kandir) - DIEF/SAIF/SEF-MG</t>
    </r>
  </si>
  <si>
    <t>Notas:</t>
  </si>
  <si>
    <t>1 - Lei Kandir e Ativo Permanente - Estes valores foram informados no relatório do GT 08/CONFAZ - Anexo XIV para 2020 - perdas e repasses da Lei Kandir (exportações julho/2018 - jun/2019 e ativo permanente 2018), deduzido o Ressarcimento ano 2018 -Transferência da União. A LC 87/96 entrou em vigor em set/96.</t>
  </si>
  <si>
    <t>2 - Simples Nacional lei Complementar 123/06 de 14.12.06</t>
  </si>
  <si>
    <t>Obs.: Receita Orçamentária Fiscal: Receita Corrente = R$ 92.916.039.851,00; Receita Tributária = R$ 69.779.606.719,00;  ICMS = R$ 53.797.860.025,00.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</si>
</sst>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vertAlign val="superscript"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44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0" fontId="4" fillId="0" borderId="0" xfId="2" applyFont="1"/>
    <xf numFmtId="0" fontId="3" fillId="2" borderId="4" xfId="2" applyFont="1" applyFill="1" applyBorder="1" applyAlignment="1">
      <alignment horizontal="center" vertical="center" wrapText="1"/>
    </xf>
    <xf numFmtId="0" fontId="3" fillId="2" borderId="5" xfId="2" applyFont="1" applyFill="1" applyBorder="1" applyAlignment="1">
      <alignment horizontal="center" vertical="center" wrapText="1"/>
    </xf>
    <xf numFmtId="0" fontId="3" fillId="2" borderId="6" xfId="2" applyFont="1" applyFill="1" applyBorder="1" applyAlignment="1">
      <alignment horizontal="center" vertical="center" wrapText="1"/>
    </xf>
    <xf numFmtId="0" fontId="2" fillId="0" borderId="2" xfId="2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2"/>
    <xf numFmtId="0" fontId="5" fillId="0" borderId="0" xfId="2" applyFont="1" applyAlignment="1">
      <alignment horizontal="center" vertical="center"/>
    </xf>
    <xf numFmtId="0" fontId="5" fillId="0" borderId="5" xfId="2" applyFont="1" applyBorder="1" applyAlignment="1">
      <alignment vertical="center"/>
    </xf>
    <xf numFmtId="0" fontId="5" fillId="0" borderId="5" xfId="2" applyFont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2" fillId="0" borderId="7" xfId="2" applyBorder="1" applyAlignment="1">
      <alignment horizontal="center" vertical="center"/>
    </xf>
    <xf numFmtId="0" fontId="2" fillId="0" borderId="7" xfId="2" applyBorder="1" applyAlignment="1">
      <alignment horizontal="center" vertical="center" wrapText="1"/>
    </xf>
    <xf numFmtId="0" fontId="2" fillId="0" borderId="10" xfId="2" applyBorder="1" applyAlignment="1">
      <alignment vertical="center"/>
    </xf>
    <xf numFmtId="165" fontId="2" fillId="0" borderId="10" xfId="1" applyNumberFormat="1" applyFont="1" applyBorder="1" applyAlignment="1">
      <alignment horizontal="right" vertical="center"/>
    </xf>
    <xf numFmtId="10" fontId="2" fillId="0" borderId="10" xfId="2" applyNumberFormat="1" applyBorder="1" applyAlignment="1">
      <alignment horizontal="right" vertical="center"/>
    </xf>
    <xf numFmtId="10" fontId="2" fillId="0" borderId="10" xfId="1" applyNumberFormat="1" applyFont="1" applyBorder="1" applyAlignment="1">
      <alignment horizontal="right" vertical="center"/>
    </xf>
    <xf numFmtId="0" fontId="2" fillId="0" borderId="0" xfId="2" applyAlignment="1">
      <alignment vertical="center"/>
    </xf>
    <xf numFmtId="165" fontId="1" fillId="0" borderId="0" xfId="1" applyNumberFormat="1" applyAlignment="1">
      <alignment vertical="center"/>
    </xf>
    <xf numFmtId="0" fontId="7" fillId="0" borderId="0" xfId="2" applyFont="1" applyAlignment="1">
      <alignment vertical="center"/>
    </xf>
    <xf numFmtId="0" fontId="2" fillId="0" borderId="9" xfId="2" applyBorder="1"/>
    <xf numFmtId="0" fontId="2" fillId="0" borderId="9" xfId="2" applyBorder="1" applyAlignment="1">
      <alignment horizontal="center" vertical="center"/>
    </xf>
    <xf numFmtId="164" fontId="2" fillId="0" borderId="9" xfId="2" applyNumberFormat="1" applyBorder="1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0" fontId="5" fillId="3" borderId="8" xfId="2" applyFont="1" applyFill="1" applyBorder="1" applyAlignment="1">
      <alignment vertical="center"/>
    </xf>
    <xf numFmtId="165" fontId="5" fillId="3" borderId="8" xfId="1" applyNumberFormat="1" applyFont="1" applyFill="1" applyBorder="1" applyAlignment="1">
      <alignment vertical="center"/>
    </xf>
    <xf numFmtId="10" fontId="5" fillId="3" borderId="8" xfId="3" applyNumberFormat="1" applyFont="1" applyFill="1" applyBorder="1" applyAlignment="1">
      <alignment vertical="center"/>
    </xf>
    <xf numFmtId="0" fontId="5" fillId="0" borderId="0" xfId="2" applyFont="1"/>
    <xf numFmtId="0" fontId="7" fillId="0" borderId="0" xfId="2" applyFont="1"/>
    <xf numFmtId="0" fontId="7" fillId="0" borderId="2" xfId="2" applyFont="1" applyBorder="1"/>
    <xf numFmtId="0" fontId="8" fillId="4" borderId="0" xfId="2" applyFont="1" applyFill="1"/>
    <xf numFmtId="0" fontId="9" fillId="0" borderId="0" xfId="2" applyFont="1"/>
    <xf numFmtId="0" fontId="7" fillId="4" borderId="0" xfId="2" applyFont="1" applyFill="1" applyAlignment="1">
      <alignment horizontal="left" vertical="top" wrapText="1"/>
    </xf>
    <xf numFmtId="0" fontId="2" fillId="0" borderId="0" xfId="2" applyAlignment="1">
      <alignment horizontal="left" vertical="top" wrapText="1"/>
    </xf>
    <xf numFmtId="0" fontId="7" fillId="0" borderId="0" xfId="2" applyFont="1" applyAlignment="1">
      <alignment horizontal="left" vertical="center" wrapText="1"/>
    </xf>
  </cellXfs>
  <cellStyles count="4">
    <cellStyle name="Normal" xfId="0" builtinId="0"/>
    <cellStyle name="Normal 2" xfId="2"/>
    <cellStyle name="Porcentagem 2" xfId="3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C15" sqref="C15"/>
    </sheetView>
  </sheetViews>
  <sheetFormatPr defaultRowHeight="12.75" x14ac:dyDescent="0.2"/>
  <cols>
    <col min="1" max="1" width="48.85546875" style="10" customWidth="1"/>
    <col min="2" max="2" width="17.85546875" style="10" customWidth="1"/>
    <col min="3" max="3" width="18.85546875" style="10" customWidth="1"/>
    <col min="4" max="4" width="23.5703125" style="10" customWidth="1"/>
    <col min="5" max="5" width="19.140625" style="10" customWidth="1"/>
    <col min="6" max="6" width="4.85546875" style="10" customWidth="1"/>
    <col min="7" max="7" width="15" style="10" hidden="1" customWidth="1"/>
    <col min="8" max="9" width="9.140625" style="10" hidden="1" customWidth="1"/>
    <col min="10" max="10" width="9.140625" style="10" customWidth="1"/>
    <col min="11" max="16384" width="9.140625" style="10"/>
  </cols>
  <sheetData>
    <row r="1" spans="1:8" s="4" customFormat="1" ht="18.95" customHeight="1" x14ac:dyDescent="0.2">
      <c r="A1" s="1" t="s">
        <v>0</v>
      </c>
      <c r="B1" s="2"/>
      <c r="C1" s="2"/>
      <c r="D1" s="2"/>
      <c r="E1" s="3"/>
    </row>
    <row r="2" spans="1:8" s="4" customFormat="1" ht="29.25" customHeight="1" x14ac:dyDescent="0.2">
      <c r="A2" s="5"/>
      <c r="B2" s="6"/>
      <c r="C2" s="6"/>
      <c r="D2" s="6"/>
      <c r="E2" s="7"/>
    </row>
    <row r="3" spans="1:8" ht="18" customHeight="1" x14ac:dyDescent="0.2">
      <c r="A3" s="8" t="s">
        <v>1</v>
      </c>
      <c r="B3" s="9"/>
      <c r="C3" s="9"/>
      <c r="D3" s="9"/>
      <c r="E3" s="9"/>
    </row>
    <row r="4" spans="1:8" ht="15" customHeight="1" x14ac:dyDescent="0.2">
      <c r="A4" s="11" t="s">
        <v>2</v>
      </c>
      <c r="B4" s="11"/>
      <c r="C4" s="11"/>
      <c r="D4" s="11"/>
      <c r="E4" s="11"/>
    </row>
    <row r="5" spans="1:8" x14ac:dyDescent="0.2">
      <c r="A5" s="12"/>
      <c r="B5" s="13" t="s">
        <v>3</v>
      </c>
      <c r="C5" s="13"/>
      <c r="D5" s="12"/>
      <c r="E5" s="10" t="s">
        <v>4</v>
      </c>
    </row>
    <row r="6" spans="1:8" x14ac:dyDescent="0.2">
      <c r="A6" s="14" t="s">
        <v>5</v>
      </c>
      <c r="B6" s="15" t="s">
        <v>6</v>
      </c>
      <c r="C6" s="16" t="s">
        <v>7</v>
      </c>
      <c r="D6" s="16"/>
      <c r="E6" s="16"/>
    </row>
    <row r="7" spans="1:8" x14ac:dyDescent="0.2">
      <c r="A7" s="17"/>
      <c r="B7" s="18"/>
      <c r="C7" s="19" t="s">
        <v>8</v>
      </c>
      <c r="D7" s="19" t="s">
        <v>9</v>
      </c>
      <c r="E7" s="19" t="s">
        <v>10</v>
      </c>
    </row>
    <row r="8" spans="1:8" x14ac:dyDescent="0.2">
      <c r="A8" s="20"/>
      <c r="B8" s="21"/>
      <c r="C8" s="20"/>
      <c r="D8" s="20"/>
      <c r="E8" s="20"/>
    </row>
    <row r="9" spans="1:8" s="26" customFormat="1" ht="15" x14ac:dyDescent="0.25">
      <c r="A9" s="22" t="s">
        <v>11</v>
      </c>
      <c r="B9" s="23">
        <v>7131701.8725306941</v>
      </c>
      <c r="C9" s="24">
        <v>7.675425990999056E-2</v>
      </c>
      <c r="D9" s="24">
        <v>0.10220323971228162</v>
      </c>
      <c r="E9" s="25">
        <v>0.13256478732084465</v>
      </c>
      <c r="G9" s="27">
        <f>92916039851/1000</f>
        <v>92916039.850999996</v>
      </c>
      <c r="H9" s="28" t="s">
        <v>12</v>
      </c>
    </row>
    <row r="10" spans="1:8" s="26" customFormat="1" ht="15" x14ac:dyDescent="0.25">
      <c r="A10" s="22" t="s">
        <v>13</v>
      </c>
      <c r="B10" s="23">
        <v>939266.7042058229</v>
      </c>
      <c r="C10" s="24">
        <v>1.0108768149310166E-2</v>
      </c>
      <c r="D10" s="24">
        <v>1.3460475751722371E-2</v>
      </c>
      <c r="E10" s="25">
        <v>1.7459183390739767E-2</v>
      </c>
      <c r="G10" s="27">
        <f>69779606719/1000</f>
        <v>69779606.718999997</v>
      </c>
      <c r="H10" s="28" t="s">
        <v>14</v>
      </c>
    </row>
    <row r="11" spans="1:8" ht="14.1" customHeight="1" x14ac:dyDescent="0.2">
      <c r="A11" s="29"/>
      <c r="B11" s="30"/>
      <c r="C11" s="31"/>
      <c r="D11" s="32"/>
      <c r="E11" s="32"/>
      <c r="G11" s="27">
        <f>53797860025/1000</f>
        <v>53797860.024999999</v>
      </c>
      <c r="H11" s="28" t="s">
        <v>10</v>
      </c>
    </row>
    <row r="12" spans="1:8" s="36" customFormat="1" x14ac:dyDescent="0.2">
      <c r="A12" s="33" t="s">
        <v>15</v>
      </c>
      <c r="B12" s="34">
        <f>SUM(B8:B11)</f>
        <v>8070968.5767365173</v>
      </c>
      <c r="C12" s="35">
        <v>8.6863028059300726E-2</v>
      </c>
      <c r="D12" s="35">
        <v>0.115663715464004</v>
      </c>
      <c r="E12" s="35">
        <v>0.15002397071158441</v>
      </c>
    </row>
    <row r="13" spans="1:8" x14ac:dyDescent="0.2">
      <c r="A13" s="37" t="s">
        <v>16</v>
      </c>
      <c r="B13" s="38"/>
      <c r="C13" s="37"/>
      <c r="D13" s="37"/>
      <c r="E13" s="37"/>
    </row>
    <row r="14" spans="1:8" x14ac:dyDescent="0.2">
      <c r="A14" s="37" t="s">
        <v>17</v>
      </c>
      <c r="B14" s="37"/>
      <c r="C14" s="37"/>
      <c r="D14" s="37"/>
      <c r="E14" s="37"/>
    </row>
    <row r="15" spans="1:8" x14ac:dyDescent="0.2">
      <c r="A15" s="37" t="s">
        <v>18</v>
      </c>
      <c r="B15" s="37"/>
      <c r="C15" s="37"/>
      <c r="D15" s="37"/>
      <c r="E15" s="37"/>
    </row>
    <row r="16" spans="1:8" x14ac:dyDescent="0.2">
      <c r="A16" s="39" t="s">
        <v>19</v>
      </c>
      <c r="B16" s="40"/>
      <c r="C16" s="40"/>
      <c r="D16" s="40"/>
      <c r="E16" s="40"/>
    </row>
    <row r="17" spans="1:5" x14ac:dyDescent="0.2">
      <c r="A17" s="41" t="s">
        <v>20</v>
      </c>
      <c r="B17" s="42"/>
      <c r="C17" s="42"/>
      <c r="D17" s="42"/>
      <c r="E17" s="42"/>
    </row>
    <row r="18" spans="1:5" x14ac:dyDescent="0.2">
      <c r="A18" s="37" t="s">
        <v>21</v>
      </c>
      <c r="B18" s="40"/>
      <c r="C18" s="40"/>
      <c r="D18" s="40"/>
      <c r="E18" s="40"/>
    </row>
    <row r="19" spans="1:5" x14ac:dyDescent="0.2">
      <c r="A19" s="43" t="s">
        <v>22</v>
      </c>
      <c r="B19" s="43"/>
      <c r="C19" s="43"/>
      <c r="D19" s="43"/>
      <c r="E19" s="43"/>
    </row>
  </sheetData>
  <mergeCells count="9">
    <mergeCell ref="A17:E17"/>
    <mergeCell ref="A19:E19"/>
    <mergeCell ref="A1:E2"/>
    <mergeCell ref="A3:E3"/>
    <mergeCell ref="A4:E4"/>
    <mergeCell ref="B5:C5"/>
    <mergeCell ref="A6:A7"/>
    <mergeCell ref="B6:B7"/>
    <mergeCell ref="C6:E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2026-02-23T18:50:00Z</dcterms:created>
  <dcterms:modified xsi:type="dcterms:W3CDTF">2026-02-23T18:50:29Z</dcterms:modified>
</cp:coreProperties>
</file>