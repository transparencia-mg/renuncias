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esktop\RENUNCIAS\"/>
    </mc:Choice>
  </mc:AlternateContent>
  <bookViews>
    <workbookView xWindow="0" yWindow="0" windowWidth="21600" windowHeight="873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3" i="1" l="1"/>
  <c r="K23" i="1"/>
  <c r="J23" i="1"/>
  <c r="L24" i="1" s="1"/>
  <c r="I23" i="1"/>
  <c r="H23" i="1"/>
  <c r="G23" i="1"/>
  <c r="F23" i="1"/>
  <c r="E23" i="1"/>
  <c r="D23" i="1"/>
  <c r="C23" i="1"/>
  <c r="B23" i="1"/>
</calcChain>
</file>

<file path=xl/sharedStrings.xml><?xml version="1.0" encoding="utf-8"?>
<sst xmlns="http://schemas.openxmlformats.org/spreadsheetml/2006/main" count="41" uniqueCount="39">
  <si>
    <t>DEMONSTRATIVO REGIONALIZADO DO EFEITO SOBRE A RECEITA E A DESPESA DECORRENTE DE ISENÇÃO, ANISTIA, TRANSAÇÃO, REMISSÃO, SUBSÍDIO E BENEFICIO DE NATUREZA FINANCEIRA, TRIBUTÁRIO E CREDITÍCIA</t>
  </si>
  <si>
    <t>Tabela 4 - Minas Gerais - Estimativa Regionalizada das Renúncias Pré Existentes</t>
  </si>
  <si>
    <t>REGIONALIZAÇÃO</t>
  </si>
  <si>
    <t>ICMS por Modalidade de Renúncia</t>
  </si>
  <si>
    <t>IPVA</t>
  </si>
  <si>
    <t>Anistia - ITCD</t>
  </si>
  <si>
    <t>Anistia - Taxa</t>
  </si>
  <si>
    <t>Isenção</t>
  </si>
  <si>
    <t>Redução da Base de Cálculo</t>
  </si>
  <si>
    <t>Redução de Alíquota</t>
  </si>
  <si>
    <t>Crédito Presumido</t>
  </si>
  <si>
    <t>Incentivo a Cultura e Esporte</t>
  </si>
  <si>
    <t>Suframa</t>
  </si>
  <si>
    <t>Anistia</t>
  </si>
  <si>
    <t>Barbacena</t>
  </si>
  <si>
    <t>Belo Horizonte</t>
  </si>
  <si>
    <t>Divinópolis</t>
  </si>
  <si>
    <t>Governador Valadares</t>
  </si>
  <si>
    <t>Ipatinga</t>
  </si>
  <si>
    <t>Juíz de Fora</t>
  </si>
  <si>
    <t>Montes Claros</t>
  </si>
  <si>
    <t>Patos de Minas</t>
  </si>
  <si>
    <t>Pouso Alegre</t>
  </si>
  <si>
    <t>Teófilo Otoni</t>
  </si>
  <si>
    <t>Uberaba</t>
  </si>
  <si>
    <t>Uberlândia</t>
  </si>
  <si>
    <t>Varginha</t>
  </si>
  <si>
    <t>SUB TOTAL</t>
  </si>
  <si>
    <t>TOTAL</t>
  </si>
  <si>
    <t>(inciso IX do artigo 7º da Lei nº 24.945, de 02/08/2024)</t>
  </si>
  <si>
    <t>Exercício Fiscal  de 2025</t>
  </si>
  <si>
    <t>( valores em R$ a preços de 2024)</t>
  </si>
  <si>
    <t>Contribuintes Não inscritos</t>
  </si>
  <si>
    <t>Fonte: Dados Cognos, SAS, SIARE/MG e SUCRED/SEF - junho 2024</t>
  </si>
  <si>
    <t>Elaboração: DIEF/SAIF/SEF-MG</t>
  </si>
  <si>
    <t>Obs.: Receita Orçamentária Fiscal: Receitas Correntes = R$ 154.516.168.829; Receita Tributária (Impostos, Taxas e Contribuições de Melhoria) = R$ 111.897.941.946;  ICMS com juros,multas e dívida ativa = R$ 84.690.281.454.</t>
  </si>
  <si>
    <t>1 - Para a quantificação das renúncias fiscais do ICMS formalizadas em regimes especiais, a SEF/MG agrega e consolida por núcleo de CNPJ, os dados informados pelos contribuintes na DAPI - Declaração de Apuração do ICMS, Portaria SRE-117/2013, modalidade de autolançamento do imposto, e complementa eventualmente com os dados dos demais documentos eletrônicos emitidos pelos mesmos. Essas informações estão sujeitas à revisão fiscal no prazo decadencial de 5 anos.</t>
  </si>
  <si>
    <t>Para corrigir a distorção de contribuintes que não escrituram créditos por entradas integralmente, suprindo-os por crédito presumido a maior, proporcionando renúncia superestimada, a SEF/MG compara os valores totais de créditos informados na DAPI (campo 43x3), com os totais de ICMS destacados em NFe pelos remetentes para esses beneficiados. Caso o montante dessa proxy seja superior aos créditos escriturados na DAPI, a SEF/MG deduz essa diferença da estimativa da renúncia.</t>
  </si>
  <si>
    <t>Em relação ao procedimento indevido de alguns contribuintes de utilizarem campos impróprios da declaração, a SEF/MG apura o saldo devedor operacional dos créditos e débitos destacados em NFe e compara com o ICMS devido e/ou pago informado na DAPI, sendo estimada como renúncia essa eventual diferença.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</si>
</sst>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38">
    <xf numFmtId="0" fontId="0" fillId="0" borderId="0" xfId="0"/>
    <xf numFmtId="0" fontId="3" fillId="2" borderId="1" xfId="2" applyFont="1" applyFill="1" applyBorder="1" applyAlignment="1">
      <alignment horizontal="center" vertical="center" wrapText="1"/>
    </xf>
    <xf numFmtId="0" fontId="2" fillId="0" borderId="0" xfId="2"/>
    <xf numFmtId="0" fontId="2" fillId="0" borderId="0" xfId="2" applyAlignment="1">
      <alignment horizontal="right"/>
    </xf>
    <xf numFmtId="0" fontId="4" fillId="0" borderId="0" xfId="2" applyFont="1" applyAlignment="1">
      <alignment horizontal="left" vertical="center" wrapText="1"/>
    </xf>
    <xf numFmtId="0" fontId="4" fillId="0" borderId="0" xfId="2" applyFont="1" applyAlignment="1">
      <alignment horizontal="left" vertical="top" wrapText="1"/>
    </xf>
    <xf numFmtId="0" fontId="8" fillId="0" borderId="0" xfId="2" applyFont="1"/>
    <xf numFmtId="0" fontId="5" fillId="0" borderId="0" xfId="2" applyFont="1" applyAlignment="1">
      <alignment horizontal="center" vertical="center" wrapText="1"/>
    </xf>
    <xf numFmtId="0" fontId="2" fillId="0" borderId="0" xfId="2" applyAlignment="1">
      <alignment vertical="center"/>
    </xf>
    <xf numFmtId="0" fontId="2" fillId="0" borderId="0" xfId="2" applyAlignment="1">
      <alignment horizontal="right" vertical="center"/>
    </xf>
    <xf numFmtId="0" fontId="3" fillId="2" borderId="4" xfId="2" applyFont="1" applyFill="1" applyBorder="1" applyAlignment="1">
      <alignment horizontal="center" vertical="center" wrapText="1"/>
    </xf>
    <xf numFmtId="0" fontId="2" fillId="0" borderId="4" xfId="2" applyBorder="1" applyAlignment="1">
      <alignment horizontal="center" vertical="center" wrapText="1"/>
    </xf>
    <xf numFmtId="0" fontId="3" fillId="2" borderId="11" xfId="2" applyFont="1" applyFill="1" applyBorder="1" applyAlignment="1">
      <alignment horizontal="center" vertical="center"/>
    </xf>
    <xf numFmtId="0" fontId="3" fillId="2" borderId="11" xfId="2" applyFont="1" applyFill="1" applyBorder="1" applyAlignment="1">
      <alignment horizontal="center" vertical="center" wrapText="1"/>
    </xf>
    <xf numFmtId="0" fontId="3" fillId="2" borderId="12" xfId="2" applyFont="1" applyFill="1" applyBorder="1" applyAlignment="1">
      <alignment horizontal="center" vertical="center" wrapText="1"/>
    </xf>
    <xf numFmtId="0" fontId="3" fillId="0" borderId="0" xfId="2" applyFont="1" applyAlignment="1">
      <alignment vertical="center"/>
    </xf>
    <xf numFmtId="3" fontId="3" fillId="2" borderId="4" xfId="2" applyNumberFormat="1" applyFont="1" applyFill="1" applyBorder="1" applyAlignment="1">
      <alignment vertical="center"/>
    </xf>
    <xf numFmtId="0" fontId="6" fillId="2" borderId="9" xfId="2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2" fillId="0" borderId="0" xfId="2" applyAlignment="1">
      <alignment horizontal="left" vertical="center" wrapText="1"/>
    </xf>
    <xf numFmtId="0" fontId="7" fillId="2" borderId="3" xfId="2" applyFont="1" applyFill="1" applyBorder="1" applyAlignment="1">
      <alignment horizontal="center" vertical="center" wrapText="1"/>
    </xf>
    <xf numFmtId="0" fontId="2" fillId="0" borderId="2" xfId="2" applyBorder="1" applyAlignment="1">
      <alignment horizontal="center" vertical="center" wrapText="1"/>
    </xf>
    <xf numFmtId="43" fontId="2" fillId="0" borderId="0" xfId="1" applyFont="1" applyBorder="1" applyAlignment="1">
      <alignment horizontal="right"/>
    </xf>
    <xf numFmtId="0" fontId="3" fillId="2" borderId="10" xfId="2" applyFont="1" applyFill="1" applyBorder="1" applyAlignment="1">
      <alignment horizontal="center" vertical="center" wrapText="1"/>
    </xf>
    <xf numFmtId="0" fontId="2" fillId="0" borderId="13" xfId="2" applyBorder="1" applyAlignment="1">
      <alignment horizontal="center" vertical="center" wrapText="1"/>
    </xf>
    <xf numFmtId="0" fontId="7" fillId="3" borderId="5" xfId="2" applyFont="1" applyFill="1" applyBorder="1" applyAlignment="1">
      <alignment horizontal="left" vertical="center" wrapText="1"/>
    </xf>
    <xf numFmtId="3" fontId="2" fillId="0" borderId="6" xfId="2" applyNumberFormat="1" applyBorder="1"/>
    <xf numFmtId="3" fontId="2" fillId="0" borderId="6" xfId="2" applyNumberFormat="1" applyBorder="1" applyAlignment="1">
      <alignment vertical="center"/>
    </xf>
    <xf numFmtId="3" fontId="9" fillId="0" borderId="6" xfId="2" applyNumberFormat="1" applyFont="1" applyBorder="1" applyAlignment="1">
      <alignment vertical="center"/>
    </xf>
    <xf numFmtId="3" fontId="2" fillId="0" borderId="7" xfId="2" applyNumberFormat="1" applyBorder="1" applyAlignment="1">
      <alignment vertical="center"/>
    </xf>
    <xf numFmtId="0" fontId="2" fillId="0" borderId="6" xfId="2" applyBorder="1" applyAlignment="1">
      <alignment horizontal="right"/>
    </xf>
    <xf numFmtId="3" fontId="9" fillId="0" borderId="6" xfId="2" applyNumberFormat="1" applyFont="1" applyBorder="1"/>
    <xf numFmtId="0" fontId="7" fillId="3" borderId="5" xfId="2" applyFont="1" applyFill="1" applyBorder="1" applyAlignment="1">
      <alignment horizontal="left" vertical="center"/>
    </xf>
    <xf numFmtId="0" fontId="6" fillId="2" borderId="10" xfId="2" applyFont="1" applyFill="1" applyBorder="1" applyAlignment="1">
      <alignment horizontal="left" vertical="center" wrapText="1"/>
    </xf>
    <xf numFmtId="3" fontId="3" fillId="2" borderId="8" xfId="2" applyNumberFormat="1" applyFont="1" applyFill="1" applyBorder="1" applyAlignment="1">
      <alignment vertical="center"/>
    </xf>
    <xf numFmtId="0" fontId="4" fillId="0" borderId="0" xfId="2" applyFont="1" applyAlignment="1">
      <alignment vertical="center"/>
    </xf>
    <xf numFmtId="3" fontId="2" fillId="0" borderId="0" xfId="2" applyNumberFormat="1" applyAlignment="1">
      <alignment vertical="center"/>
    </xf>
  </cellXfs>
  <cellStyles count="3">
    <cellStyle name="Normal" xfId="0" builtinId="0"/>
    <cellStyle name="Normal 2" xfId="2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tabSelected="1" workbookViewId="0">
      <selection sqref="A1:XFD1048576"/>
    </sheetView>
  </sheetViews>
  <sheetFormatPr defaultColWidth="9.140625" defaultRowHeight="12.75" x14ac:dyDescent="0.2"/>
  <cols>
    <col min="1" max="1" width="32.140625" style="2" customWidth="1"/>
    <col min="2" max="2" width="11.42578125" style="3" bestFit="1" customWidth="1"/>
    <col min="3" max="3" width="13.140625" style="2" customWidth="1"/>
    <col min="4" max="4" width="9.85546875" style="2" customWidth="1"/>
    <col min="5" max="5" width="13.85546875" style="2" customWidth="1"/>
    <col min="6" max="6" width="13.140625" style="2" customWidth="1"/>
    <col min="7" max="7" width="10.28515625" style="2" customWidth="1"/>
    <col min="8" max="8" width="13.7109375" style="2" customWidth="1"/>
    <col min="9" max="9" width="13.5703125" style="2" customWidth="1"/>
    <col min="10" max="10" width="13.42578125" style="2" customWidth="1"/>
    <col min="11" max="11" width="11.42578125" style="2" customWidth="1"/>
    <col min="12" max="12" width="13.85546875" style="2" customWidth="1"/>
    <col min="13" max="16384" width="9.140625" style="2"/>
  </cols>
  <sheetData>
    <row r="1" spans="1:12" ht="18.95" customHeight="1" x14ac:dyDescent="0.2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ht="12.75" customHeight="1" x14ac:dyDescent="0.2">
      <c r="A2" s="22" t="s">
        <v>29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spans="1:12" x14ac:dyDescent="0.2">
      <c r="A3" s="6"/>
      <c r="B3" s="2"/>
    </row>
    <row r="4" spans="1:12" ht="12.75" customHeight="1" x14ac:dyDescent="0.2">
      <c r="A4" s="7" t="s">
        <v>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2" ht="15" x14ac:dyDescent="0.2">
      <c r="A5" s="7" t="s">
        <v>30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spans="1:12" x14ac:dyDescent="0.2">
      <c r="A6" s="8"/>
      <c r="B6" s="8"/>
      <c r="C6" s="8"/>
      <c r="D6" s="8"/>
      <c r="E6" s="8"/>
      <c r="F6" s="8"/>
      <c r="G6" s="8"/>
      <c r="H6" s="8"/>
      <c r="I6" s="8"/>
      <c r="J6" s="8"/>
      <c r="K6" s="9"/>
      <c r="L6" s="23" t="s">
        <v>31</v>
      </c>
    </row>
    <row r="7" spans="1:12" ht="12.75" customHeight="1" x14ac:dyDescent="0.2">
      <c r="A7" s="24" t="s">
        <v>2</v>
      </c>
      <c r="B7" s="10" t="s">
        <v>3</v>
      </c>
      <c r="C7" s="11"/>
      <c r="D7" s="11"/>
      <c r="E7" s="11"/>
      <c r="F7" s="11"/>
      <c r="G7" s="11"/>
      <c r="H7" s="11"/>
      <c r="I7" s="10" t="s">
        <v>4</v>
      </c>
      <c r="J7" s="11"/>
      <c r="K7" s="1" t="s">
        <v>5</v>
      </c>
      <c r="L7" s="1" t="s">
        <v>6</v>
      </c>
    </row>
    <row r="8" spans="1:12" ht="39" thickBot="1" x14ac:dyDescent="0.25">
      <c r="A8" s="25"/>
      <c r="B8" s="12" t="s">
        <v>7</v>
      </c>
      <c r="C8" s="13" t="s">
        <v>8</v>
      </c>
      <c r="D8" s="13" t="s">
        <v>9</v>
      </c>
      <c r="E8" s="13" t="s">
        <v>10</v>
      </c>
      <c r="F8" s="13" t="s">
        <v>11</v>
      </c>
      <c r="G8" s="13" t="s">
        <v>12</v>
      </c>
      <c r="H8" s="13" t="s">
        <v>13</v>
      </c>
      <c r="I8" s="12" t="s">
        <v>7</v>
      </c>
      <c r="J8" s="13" t="s">
        <v>9</v>
      </c>
      <c r="K8" s="14"/>
      <c r="L8" s="14"/>
    </row>
    <row r="9" spans="1:12" ht="16.5" thickTop="1" x14ac:dyDescent="0.2">
      <c r="A9" s="26" t="s">
        <v>14</v>
      </c>
      <c r="B9" s="27">
        <v>66863912.364806339</v>
      </c>
      <c r="C9" s="28">
        <v>21836.215834604904</v>
      </c>
      <c r="D9" s="29"/>
      <c r="E9" s="28">
        <v>195422977.72374403</v>
      </c>
      <c r="F9" s="28">
        <v>2032981.75199056</v>
      </c>
      <c r="G9" s="29"/>
      <c r="H9" s="28">
        <v>19355846.539999992</v>
      </c>
      <c r="I9" s="30"/>
      <c r="J9" s="30">
        <v>1084235.5045317677</v>
      </c>
      <c r="K9" s="30">
        <v>122429.60000000009</v>
      </c>
      <c r="L9" s="30">
        <v>50434.080000000075</v>
      </c>
    </row>
    <row r="10" spans="1:12" ht="15.75" x14ac:dyDescent="0.2">
      <c r="A10" s="26" t="s">
        <v>15</v>
      </c>
      <c r="B10" s="27">
        <v>222083075.07477266</v>
      </c>
      <c r="C10" s="28">
        <v>136201401.27173826</v>
      </c>
      <c r="D10" s="28">
        <v>2001730.8773248661</v>
      </c>
      <c r="E10" s="28">
        <v>6017632096.949379</v>
      </c>
      <c r="F10" s="28">
        <v>116787627.23092335</v>
      </c>
      <c r="G10" s="28">
        <v>7668463.2977520321</v>
      </c>
      <c r="H10" s="28">
        <v>284159653.5200007</v>
      </c>
      <c r="I10" s="30"/>
      <c r="J10" s="30">
        <v>3810866064.1234231</v>
      </c>
      <c r="K10" s="30">
        <v>2651062.4600000107</v>
      </c>
      <c r="L10" s="30">
        <v>1968490.5200000007</v>
      </c>
    </row>
    <row r="11" spans="1:12" ht="15.75" x14ac:dyDescent="0.2">
      <c r="A11" s="26" t="s">
        <v>16</v>
      </c>
      <c r="B11" s="27">
        <v>48790.045566033499</v>
      </c>
      <c r="C11" s="28">
        <v>103713813.45923029</v>
      </c>
      <c r="D11" s="29"/>
      <c r="E11" s="28">
        <v>838489374.85697484</v>
      </c>
      <c r="F11" s="28">
        <v>1992605.1191014228</v>
      </c>
      <c r="G11" s="28">
        <v>18021.95350494577</v>
      </c>
      <c r="H11" s="28">
        <v>64932602.499999948</v>
      </c>
      <c r="I11" s="30"/>
      <c r="J11" s="30">
        <v>20625651.658563774</v>
      </c>
      <c r="K11" s="30">
        <v>213703.84000000014</v>
      </c>
      <c r="L11" s="30">
        <v>132357.37999999998</v>
      </c>
    </row>
    <row r="12" spans="1:12" ht="15.75" x14ac:dyDescent="0.2">
      <c r="A12" s="26" t="s">
        <v>17</v>
      </c>
      <c r="B12" s="27"/>
      <c r="C12" s="28">
        <v>5575080.065553993</v>
      </c>
      <c r="D12" s="29"/>
      <c r="E12" s="28">
        <v>96513205.412452593</v>
      </c>
      <c r="F12" s="28">
        <v>8539.6328189165542</v>
      </c>
      <c r="G12" s="28">
        <v>0</v>
      </c>
      <c r="H12" s="28">
        <v>18348775.179999929</v>
      </c>
      <c r="I12" s="30"/>
      <c r="J12" s="30">
        <v>4133454.7353640799</v>
      </c>
      <c r="K12" s="30">
        <v>53945.949999999866</v>
      </c>
      <c r="L12" s="30">
        <v>1269.6199999999999</v>
      </c>
    </row>
    <row r="13" spans="1:12" ht="11.25" customHeight="1" x14ac:dyDescent="0.2">
      <c r="A13" s="26" t="s">
        <v>18</v>
      </c>
      <c r="B13" s="27">
        <v>32230905.023157783</v>
      </c>
      <c r="C13" s="28">
        <v>335013.66878114606</v>
      </c>
      <c r="D13" s="29"/>
      <c r="E13" s="28">
        <v>599604954.17784679</v>
      </c>
      <c r="F13" s="28">
        <v>3605745.9750384637</v>
      </c>
      <c r="G13" s="28">
        <v>158840.39500615146</v>
      </c>
      <c r="H13" s="28">
        <v>28823085.169999804</v>
      </c>
      <c r="I13" s="30"/>
      <c r="J13" s="30">
        <v>23708808.852844194</v>
      </c>
      <c r="K13" s="30">
        <v>135347.60000000009</v>
      </c>
      <c r="L13" s="30">
        <v>21520.019999999997</v>
      </c>
    </row>
    <row r="14" spans="1:12" ht="15.75" x14ac:dyDescent="0.2">
      <c r="A14" s="26" t="s">
        <v>19</v>
      </c>
      <c r="B14" s="27">
        <v>791242.38773933752</v>
      </c>
      <c r="C14" s="28">
        <v>370921.85974714928</v>
      </c>
      <c r="D14" s="29"/>
      <c r="E14" s="28">
        <v>810871554.37595844</v>
      </c>
      <c r="F14" s="28">
        <v>9703837.6733608115</v>
      </c>
      <c r="G14" s="28">
        <v>40597.526348848303</v>
      </c>
      <c r="H14" s="28">
        <v>54695594.299999639</v>
      </c>
      <c r="I14" s="30"/>
      <c r="J14" s="30">
        <v>8831272.0782924704</v>
      </c>
      <c r="K14" s="30">
        <v>160093.92999999993</v>
      </c>
      <c r="L14" s="30">
        <v>13573.320000000002</v>
      </c>
    </row>
    <row r="15" spans="1:12" ht="11.25" customHeight="1" x14ac:dyDescent="0.2">
      <c r="A15" s="26" t="s">
        <v>20</v>
      </c>
      <c r="B15" s="27">
        <v>412140.09697970981</v>
      </c>
      <c r="C15" s="28">
        <v>976916.73988363694</v>
      </c>
      <c r="D15" s="29"/>
      <c r="E15" s="28">
        <v>273260680.3972609</v>
      </c>
      <c r="F15" s="28">
        <v>495150.7009858673</v>
      </c>
      <c r="G15" s="28">
        <v>0</v>
      </c>
      <c r="H15" s="28">
        <v>20043480.830000106</v>
      </c>
      <c r="I15" s="30"/>
      <c r="J15" s="30">
        <v>4322453.5798137579</v>
      </c>
      <c r="K15" s="30">
        <v>110517.71999999994</v>
      </c>
      <c r="L15" s="30">
        <v>2040.8199999999995</v>
      </c>
    </row>
    <row r="16" spans="1:12" ht="11.25" customHeight="1" x14ac:dyDescent="0.2">
      <c r="A16" s="26" t="s">
        <v>21</v>
      </c>
      <c r="B16" s="27"/>
      <c r="C16" s="28">
        <v>25416085.896653045</v>
      </c>
      <c r="D16" s="29"/>
      <c r="E16" s="28">
        <v>189253991.07188779</v>
      </c>
      <c r="F16" s="28">
        <v>65624.462950822926</v>
      </c>
      <c r="G16" s="28">
        <v>0</v>
      </c>
      <c r="H16" s="28">
        <v>32520889.179999959</v>
      </c>
      <c r="I16" s="30"/>
      <c r="J16" s="30">
        <v>3610611.521840991</v>
      </c>
      <c r="K16" s="30">
        <v>248961.08000000042</v>
      </c>
      <c r="L16" s="30">
        <v>0</v>
      </c>
    </row>
    <row r="17" spans="1:12" ht="11.25" customHeight="1" x14ac:dyDescent="0.2">
      <c r="A17" s="26" t="s">
        <v>22</v>
      </c>
      <c r="B17" s="27">
        <v>1670064.7170438876</v>
      </c>
      <c r="C17" s="28">
        <v>284226.30983799655</v>
      </c>
      <c r="D17" s="29"/>
      <c r="E17" s="28">
        <v>4631582591.4058399</v>
      </c>
      <c r="F17" s="28">
        <v>2683559.0968766799</v>
      </c>
      <c r="G17" s="28">
        <v>0</v>
      </c>
      <c r="H17" s="28">
        <v>53112391.409999937</v>
      </c>
      <c r="I17" s="30"/>
      <c r="J17" s="30">
        <v>12027874.618574934</v>
      </c>
      <c r="K17" s="30">
        <v>159691.46999999994</v>
      </c>
      <c r="L17" s="30">
        <v>0</v>
      </c>
    </row>
    <row r="18" spans="1:12" ht="15.75" x14ac:dyDescent="0.2">
      <c r="A18" s="26" t="s">
        <v>23</v>
      </c>
      <c r="B18" s="27"/>
      <c r="C18" s="28"/>
      <c r="D18" s="29"/>
      <c r="E18" s="28">
        <v>60208032.337795034</v>
      </c>
      <c r="F18" s="28">
        <v>16011.811535468538</v>
      </c>
      <c r="G18" s="28">
        <v>0</v>
      </c>
      <c r="H18" s="28">
        <v>13030386.109999925</v>
      </c>
      <c r="I18" s="30"/>
      <c r="J18" s="30">
        <v>3292089.7975180889</v>
      </c>
      <c r="K18" s="30">
        <v>71317.910000000018</v>
      </c>
      <c r="L18" s="30">
        <v>596.4899999999999</v>
      </c>
    </row>
    <row r="19" spans="1:12" ht="15.75" x14ac:dyDescent="0.2">
      <c r="A19" s="26" t="s">
        <v>24</v>
      </c>
      <c r="B19" s="27">
        <v>32717.059361809635</v>
      </c>
      <c r="C19" s="28">
        <v>540926.33285891369</v>
      </c>
      <c r="D19" s="29"/>
      <c r="E19" s="28">
        <v>943448159.73940849</v>
      </c>
      <c r="F19" s="28">
        <v>1558688.9120231583</v>
      </c>
      <c r="G19" s="28">
        <v>0</v>
      </c>
      <c r="H19" s="28">
        <v>68174858.459999964</v>
      </c>
      <c r="I19" s="30"/>
      <c r="J19" s="30">
        <v>10739985.605491828</v>
      </c>
      <c r="K19" s="30">
        <v>346400.94999999978</v>
      </c>
      <c r="L19" s="30">
        <v>5558.7499999999991</v>
      </c>
    </row>
    <row r="20" spans="1:12" ht="15.75" x14ac:dyDescent="0.2">
      <c r="A20" s="26" t="s">
        <v>25</v>
      </c>
      <c r="B20" s="27">
        <v>30556.330720005597</v>
      </c>
      <c r="C20" s="28">
        <v>51969476.911514804</v>
      </c>
      <c r="D20" s="29"/>
      <c r="E20" s="28">
        <v>1041216868.4269955</v>
      </c>
      <c r="F20" s="28">
        <v>4404679.3293179702</v>
      </c>
      <c r="G20" s="28">
        <v>0</v>
      </c>
      <c r="H20" s="28">
        <v>48292410.729999982</v>
      </c>
      <c r="I20" s="30"/>
      <c r="J20" s="30">
        <v>12506534.927282348</v>
      </c>
      <c r="K20" s="30">
        <v>408097.91999999864</v>
      </c>
      <c r="L20" s="30">
        <v>2348.7599999999998</v>
      </c>
    </row>
    <row r="21" spans="1:12" ht="15.75" x14ac:dyDescent="0.2">
      <c r="A21" s="26" t="s">
        <v>26</v>
      </c>
      <c r="B21" s="31">
        <v>377967.16336114478</v>
      </c>
      <c r="C21" s="27">
        <v>165992.31297088947</v>
      </c>
      <c r="D21" s="32"/>
      <c r="E21" s="28">
        <v>1223121607.5264888</v>
      </c>
      <c r="F21" s="28">
        <v>788531.82531708095</v>
      </c>
      <c r="G21" s="28">
        <v>12382.609864931805</v>
      </c>
      <c r="H21" s="28">
        <v>46769686.0200001</v>
      </c>
      <c r="I21" s="30"/>
      <c r="J21" s="30">
        <v>10281420.726667363</v>
      </c>
      <c r="K21" s="30">
        <v>231978.53999999989</v>
      </c>
      <c r="L21" s="30">
        <v>1020.12</v>
      </c>
    </row>
    <row r="22" spans="1:12" ht="15.75" x14ac:dyDescent="0.2">
      <c r="A22" s="33" t="s">
        <v>32</v>
      </c>
      <c r="B22" s="27">
        <v>60527621.787389249</v>
      </c>
      <c r="C22" s="28"/>
      <c r="D22" s="29"/>
      <c r="E22" s="29"/>
      <c r="F22" s="29"/>
      <c r="G22" s="29"/>
      <c r="H22" s="28">
        <v>10250999.050000001</v>
      </c>
      <c r="I22" s="30">
        <v>201722838.15349418</v>
      </c>
      <c r="J22" s="30"/>
      <c r="K22" s="30"/>
      <c r="L22" s="30"/>
    </row>
    <row r="23" spans="1:12" s="15" customFormat="1" x14ac:dyDescent="0.25">
      <c r="A23" s="34" t="s">
        <v>27</v>
      </c>
      <c r="B23" s="16">
        <f t="shared" ref="B23:E23" si="0">SUM(B9:B22)</f>
        <v>385068992.05089796</v>
      </c>
      <c r="C23" s="16">
        <f t="shared" si="0"/>
        <v>325571691.04460472</v>
      </c>
      <c r="D23" s="16">
        <f t="shared" si="0"/>
        <v>2001730.8773248661</v>
      </c>
      <c r="E23" s="16">
        <f t="shared" si="0"/>
        <v>16920626094.402035</v>
      </c>
      <c r="F23" s="16">
        <f>SUM(F9:F22)</f>
        <v>144143583.52224058</v>
      </c>
      <c r="G23" s="16">
        <f>SUM(G9:G22)</f>
        <v>7898305.7824769095</v>
      </c>
      <c r="H23" s="16">
        <f>SUM(H9:H22)</f>
        <v>762510658.99999988</v>
      </c>
      <c r="I23" s="16">
        <f>SUM(I22)</f>
        <v>201722838.15349418</v>
      </c>
      <c r="J23" s="16">
        <f>SUM(J9:J22)</f>
        <v>3926030457.7302089</v>
      </c>
      <c r="K23" s="16">
        <f>SUM(K9:K22)</f>
        <v>4913548.97000001</v>
      </c>
      <c r="L23" s="35">
        <f>SUM(L9:L22)</f>
        <v>2199209.8800000008</v>
      </c>
    </row>
    <row r="24" spans="1:12" s="15" customFormat="1" ht="15" x14ac:dyDescent="0.25">
      <c r="A24" s="17" t="s">
        <v>28</v>
      </c>
      <c r="B24" s="17"/>
      <c r="C24" s="17"/>
      <c r="D24" s="17"/>
      <c r="E24" s="17"/>
      <c r="F24" s="17"/>
      <c r="G24" s="17"/>
      <c r="H24" s="17"/>
      <c r="I24" s="18"/>
      <c r="J24" s="18"/>
      <c r="K24" s="19"/>
      <c r="L24" s="35">
        <f>SUM(B23:L23)</f>
        <v>22682687111.413288</v>
      </c>
    </row>
    <row r="25" spans="1:12" s="8" customFormat="1" x14ac:dyDescent="0.25">
      <c r="A25" s="36" t="s">
        <v>33</v>
      </c>
      <c r="B25" s="9"/>
    </row>
    <row r="26" spans="1:12" s="8" customFormat="1" x14ac:dyDescent="0.25">
      <c r="A26" s="36" t="s">
        <v>34</v>
      </c>
      <c r="B26" s="9"/>
      <c r="L26" s="37"/>
    </row>
    <row r="27" spans="1:12" s="8" customFormat="1" ht="12.75" customHeight="1" x14ac:dyDescent="0.25">
      <c r="A27" s="4" t="s">
        <v>35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</row>
    <row r="28" spans="1:12" x14ac:dyDescent="0.2">
      <c r="A28" s="5" t="s">
        <v>36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x14ac:dyDescent="0.2">
      <c r="A29" s="5" t="s">
        <v>37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x14ac:dyDescent="0.2">
      <c r="A30" s="5" t="s">
        <v>38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</sheetData>
  <mergeCells count="14">
    <mergeCell ref="A30:L30"/>
    <mergeCell ref="K7:K8"/>
    <mergeCell ref="L7:L8"/>
    <mergeCell ref="A24:K24"/>
    <mergeCell ref="A27:L27"/>
    <mergeCell ref="A28:L28"/>
    <mergeCell ref="A29:L29"/>
    <mergeCell ref="A1:L1"/>
    <mergeCell ref="A2:L2"/>
    <mergeCell ref="A4:L4"/>
    <mergeCell ref="A5:L5"/>
    <mergeCell ref="B7:H7"/>
    <mergeCell ref="I7:J7"/>
    <mergeCell ref="A7:A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2026-02-23T18:48:41Z</dcterms:created>
  <dcterms:modified xsi:type="dcterms:W3CDTF">2026-02-23T18:50:59Z</dcterms:modified>
</cp:coreProperties>
</file>